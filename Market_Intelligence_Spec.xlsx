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dex" sheetId="1" r:id="rId4"/>
    <sheet state="visible" name="🗺️ MI-1 Territory Dashboard" sheetId="2" r:id="rId5"/>
    <sheet state="visible" name="🏪 MI-2 Shop Intel Card" sheetId="3" r:id="rId6"/>
    <sheet state="visible" name="💰 MI-3 Pricing Intelligence" sheetId="4" r:id="rId7"/>
    <sheet state="visible" name="📦 MI-4 Brand Share Analysis" sheetId="5" r:id="rId8"/>
    <sheet state="visible" name="🏗️ MI-5 Project Tracker" sheetId="6" r:id="rId9"/>
    <sheet state="visible" name="📊 DB-Schema Market Intel" sheetId="7" r:id="rId10"/>
    <sheet state="visible" name="📝 DB-Schema Field Enums" sheetId="8" r:id="rId11"/>
  </sheets>
  <definedNames/>
  <calcPr/>
  <extLst>
    <ext uri="GoogleSheetsCustomDataVersion2">
      <go:sheetsCustomData xmlns:go="http://customooxmlschemas.google.com/" r:id="rId12" roundtripDataChecksum="46R9ZUT1sH2ZFUi+4HxSzLEEBzfQHE53++KgCCTtWf0="/>
    </ext>
  </extLst>
</workbook>
</file>

<file path=xl/sharedStrings.xml><?xml version="1.0" encoding="utf-8"?>
<sst xmlns="http://schemas.openxmlformats.org/spreadsheetml/2006/main" count="1077" uniqueCount="743">
  <si>
    <t>MARKET INTELLIGENCE MODULE – DEVELOPER SPECIFICATION</t>
  </si>
  <si>
    <t>Bangladesh Cement CRM  |  Full Market Coverage: Every Shop · Every Territory · Every Competitor  |  v1.0</t>
  </si>
  <si>
    <t>MODULE OVERVIEW</t>
  </si>
  <si>
    <t>PURPOSE: Capture 100% of the Bangladesh cement market — every retail shop, dealer, and active construction project in all ~200 territories (Thanas).</t>
  </si>
  <si>
    <t>MARKET SIZE DEFINITION: Defined per territory as the SUM of last-6-months sales average of ALL shops + completed projects in that territory. Roll up all territories = Total Bangladesh Market Size.</t>
  </si>
  <si>
    <t>DATA ENTRY: Sales reps collect field data during visits. Each visit log captures competitor intel, pricing, discounts, commissions, shop sentiment, and brand dominance.</t>
  </si>
  <si>
    <t>TWO CORE VIEWS: (A) Territory Market Intel Dashboard — aggregated view per Thana. (B) Shop/Project Intel Card — drill-down for individual outlets.</t>
  </si>
  <si>
    <t>SHEETS IN THIS WORKBOOK</t>
  </si>
  <si>
    <t>Sheet</t>
  </si>
  <si>
    <t>Screen / Purpose</t>
  </si>
  <si>
    <t>Primary User</t>
  </si>
  <si>
    <t>Triggered By</t>
  </si>
  <si>
    <t>🗺️ MI-1 Territory Dashboard</t>
  </si>
  <si>
    <t>Aggregated market intel per Thana: market size, brand share, pricing, sentiment</t>
  </si>
  <si>
    <t>RSM / Manager</t>
  </si>
  <si>
    <t>Select Territory filter</t>
  </si>
  <si>
    <t>🏪 MI-2 Shop Intel Card</t>
  </si>
  <si>
    <t>Individual shop/project: which brands they sell, pricing, competitor notes, sentiment</t>
  </si>
  <si>
    <t>SR / Manager</t>
  </si>
  <si>
    <t>Click shop in territory view</t>
  </si>
  <si>
    <t>💰 MI-3 Pricing Intelligence</t>
  </si>
  <si>
    <t>Price tracker per competitor per territory: ex-factory, transport, landing, discounts</t>
  </si>
  <si>
    <t>Manager / Pricing Team</t>
  </si>
  <si>
    <t>Territory + Competitor filter</t>
  </si>
  <si>
    <t>📦 MI-4 Brand Share Analysis</t>
  </si>
  <si>
    <t>Brand-wise market share by territory, rising/falling trend, dominance reasons</t>
  </si>
  <si>
    <t>RSM / GM</t>
  </si>
  <si>
    <t>Territory filter</t>
  </si>
  <si>
    <t>🏗️ MI-5 Project Tracker</t>
  </si>
  <si>
    <t>Active &amp; completed construction projects: size, current brand used, opportunity</t>
  </si>
  <si>
    <t>📊 DB-Schema Market Intel</t>
  </si>
  <si>
    <t>All database tables needed for this module</t>
  </si>
  <si>
    <t>Developer</t>
  </si>
  <si>
    <t>Reference</t>
  </si>
  <si>
    <t>📝 DB-Schema Field Enums</t>
  </si>
  <si>
    <t>All dropdown/enum values for all fields</t>
  </si>
  <si>
    <t>COLOR LEGEND</t>
  </si>
  <si>
    <t xml:space="preserve">   Primary section headers</t>
  </si>
  <si>
    <t xml:space="preserve">   Column headers / sub-sections</t>
  </si>
  <si>
    <t xml:space="preserve">   Filter rows / input fields</t>
  </si>
  <si>
    <t xml:space="preserve">   Market size / volume metrics</t>
  </si>
  <si>
    <t xml:space="preserve">   Market overview info blocks</t>
  </si>
  <si>
    <t xml:space="preserve">   Our brand / positive metrics</t>
  </si>
  <si>
    <t xml:space="preserve">   Converted / selling shops</t>
  </si>
  <si>
    <t xml:space="preserve">   Competitor dominant / threat</t>
  </si>
  <si>
    <t xml:space="preserve">   Non-selling / lost shops</t>
  </si>
  <si>
    <t xml:space="preserve">   Pricing intelligence</t>
  </si>
  <si>
    <t xml:space="preserve">   Price data rows</t>
  </si>
  <si>
    <t xml:space="preserve">   Rising competitor / alert</t>
  </si>
  <si>
    <t xml:space="preserve">   Notes / developer instructions</t>
  </si>
  <si>
    <t xml:space="preserve">   Alternate data rows</t>
  </si>
  <si>
    <t>MARKET INTELLIGENCE – TERRITORY DASHBOARD</t>
  </si>
  <si>
    <t>One screen per Territory (Thana). Aggregates field intelligence collected by all sales reps across all visits in that territory.</t>
  </si>
  <si>
    <t>FILTER / CONTROL PANEL</t>
  </si>
  <si>
    <t>#</t>
  </si>
  <si>
    <t>Filter</t>
  </si>
  <si>
    <t>UI Control</t>
  </si>
  <si>
    <t>Default</t>
  </si>
  <si>
    <t>Notes</t>
  </si>
  <si>
    <t>Division</t>
  </si>
  <si>
    <t>Dropdown – all 8 divisions</t>
  </si>
  <si>
    <t>All</t>
  </si>
  <si>
    <t>Cascade parent</t>
  </si>
  <si>
    <t>District</t>
  </si>
  <si>
    <t>Dropdown – filtered by Division</t>
  </si>
  <si>
    <t>Territory (Thana)</t>
  </si>
  <si>
    <t>Dropdown – filtered by District</t>
  </si>
  <si>
    <t>–</t>
  </si>
  <si>
    <t>REQUIRED selection</t>
  </si>
  <si>
    <t>Date Range (Intel Period)</t>
  </si>
  <si>
    <t>Date range picker</t>
  </si>
  <si>
    <t>Last 6 months</t>
  </si>
  <si>
    <t>For pricing &amp; sentiment data</t>
  </si>
  <si>
    <t>Brand Filter</t>
  </si>
  <si>
    <t>Multi-select: Our Brand + All Competitors</t>
  </si>
  <si>
    <t>Filter brand-specific sections</t>
  </si>
  <si>
    <t>SECTION A – TERRITORY MARKET SIZE  (how big is this market?)</t>
  </si>
  <si>
    <t>Total Cement
Shops Mapped</t>
  </si>
  <si>
    <t>Total Active
Projects Mapped</t>
  </si>
  <si>
    <t>Territory Market
Size (BDT/month)</t>
  </si>
  <si>
    <t>Territory Market
Size (MT bags/month)</t>
  </si>
  <si>
    <t>[ calculated ]</t>
  </si>
  <si>
    <t>COUNT all shops in territory</t>
  </si>
  <si>
    <t>COUNT construction projects (active + completed last 6m)</t>
  </si>
  <si>
    <t>SUM of 6-month avg monthly sales of ALL shops + projects</t>
  </si>
  <si>
    <t>SUM of 6-month avg volume in metric tons</t>
  </si>
  <si>
    <t>Our Brand
Market Share %</t>
  </si>
  <si>
    <t>Competitor
Total Share %</t>
  </si>
  <si>
    <t>Bangladesh Total
Market (roll-up)</t>
  </si>
  <si>
    <t>Our sales ÷ Total market × 100</t>
  </si>
  <si>
    <t>100% − Our Share</t>
  </si>
  <si>
    <t>SUM of all ~200 territory market sizes</t>
  </si>
  <si>
    <t>⚙ MARKET SIZE CALCULATION LOGIC</t>
  </si>
  <si>
    <t>• Shop Market Size = AVG of last 6 months' total cement sales (all brands combined) reported by that shop (from market_intel_visits table).</t>
  </si>
  <si>
    <t>• Project Market Size = Total cement consumed in the project over its last active 6 months ÷ 6 (monthly avg).</t>
  </si>
  <si>
    <t>• Territory Market Size = SUM of all shop market sizes + SUM of all project market sizes in that Thana.</t>
  </si>
  <si>
    <t>• If a shop has &lt; 6 months of data, use available months average. Flag as 'Partial Data' in UI.</t>
  </si>
  <si>
    <t>• Bangladesh Total = SUM across all 200 territories. Show completion % (how many territories have data).</t>
  </si>
  <si>
    <t>• Volume in MT: use brand avg bag weight (50kg standard) unless rep specifies 40kg or other bag type.</t>
  </si>
  <si>
    <t>SECTION B – BRAND &amp; COMPETITOR SHARE  (who dominates this territory?)</t>
  </si>
  <si>
    <t>Brand / Competitor</t>
  </si>
  <si>
    <t>Company Name</t>
  </si>
  <si>
    <t># Shops
Stocking</t>
  </si>
  <si>
    <t># Shops
Selling Actively</t>
  </si>
  <si>
    <t>Est. Monthly
Volume (bags)</t>
  </si>
  <si>
    <t>Est. Market
Share %</t>
  </si>
  <si>
    <t>Trend
↑↓→</t>
  </si>
  <si>
    <t>Dominance
Rating (1-5)</t>
  </si>
  <si>
    <t>Why Dominant?
(Key Reason)</t>
  </si>
  <si>
    <t>Rising /
Falling?</t>
  </si>
  <si>
    <t>Rep
Sentiment</t>
  </si>
  <si>
    <t>OUR BRAND</t>
  </si>
  <si>
    <t>Our Company</t>
  </si>
  <si>
    <t>→</t>
  </si>
  <si>
    <t>Established distribution, credit terms</t>
  </si>
  <si>
    <t>Stable</t>
  </si>
  <si>
    <t>Positive</t>
  </si>
  <si>
    <t>Shah Cement</t>
  </si>
  <si>
    <t>Shah Cement Ind.</t>
  </si>
  <si>
    <t>↑</t>
  </si>
  <si>
    <t>Aggressive pricing + TV campaign</t>
  </si>
  <si>
    <t>Rising</t>
  </si>
  <si>
    <t>Very Strong</t>
  </si>
  <si>
    <t>Crown Cement</t>
  </si>
  <si>
    <t>Crown Cement PLC</t>
  </si>
  <si>
    <t>↓</t>
  </si>
  <si>
    <t>Price premium losing ground</t>
  </si>
  <si>
    <t>Falling</t>
  </si>
  <si>
    <t>Neutral</t>
  </si>
  <si>
    <t>Heidelberg</t>
  </si>
  <si>
    <t>Heidelberg Materials</t>
  </si>
  <si>
    <t>Strong with project segment</t>
  </si>
  <si>
    <t>Technical Preference</t>
  </si>
  <si>
    <t>Premier Cement</t>
  </si>
  <si>
    <t>New distributor appointed</t>
  </si>
  <si>
    <t>Meghna Cement</t>
  </si>
  <si>
    <t>Meghna Group</t>
  </si>
  <si>
    <t>Supply chain issues reported</t>
  </si>
  <si>
    <t>Negative</t>
  </si>
  <si>
    <t>Others / Local</t>
  </si>
  <si>
    <t>Various</t>
  </si>
  <si>
    <t>Price-only buyers</t>
  </si>
  <si>
    <t>SECTION C – PRICING INTELLIGENCE  (latest prices collected in this territory)</t>
  </si>
  <si>
    <t>Brand</t>
  </si>
  <si>
    <t>Product / Grade</t>
  </si>
  <si>
    <t>Ex-Factory
Price (BDT/bag)</t>
  </si>
  <si>
    <t>Transport Cost
(BDT/bag)</t>
  </si>
  <si>
    <t>Landing Price
(BDT/bag)</t>
  </si>
  <si>
    <t>Dealer Price
(BDT/bag)</t>
  </si>
  <si>
    <t>Retail Price
(BDT/bag)</t>
  </si>
  <si>
    <t>Cash Discount
(BDT/bag)</t>
  </si>
  <si>
    <t>Credit Discount
(BDT/bag)</t>
  </si>
  <si>
    <t>Commission
(Dealer, BDT/bag)</t>
  </si>
  <si>
    <t>Last Updated
(Visit Date)</t>
  </si>
  <si>
    <t>Collected By
(Rep)</t>
  </si>
  <si>
    <t>OPC 43 Grade</t>
  </si>
  <si>
    <t>24/02/2026</t>
  </si>
  <si>
    <t>Md. Rahim</t>
  </si>
  <si>
    <t>PPC (Blended)</t>
  </si>
  <si>
    <t>22/02/2026</t>
  </si>
  <si>
    <t>20/02/2026</t>
  </si>
  <si>
    <t>Farhan</t>
  </si>
  <si>
    <t>Scancement OPC</t>
  </si>
  <si>
    <t>18/02/2026</t>
  </si>
  <si>
    <t>15/02/2026</t>
  </si>
  <si>
    <t>SECTION D – DISCOUNT &amp; COMMISSION SCHEMES IN THIS TERRITORY</t>
  </si>
  <si>
    <t>Scheme Type</t>
  </si>
  <si>
    <t>Applicable To
(Retailer/Dealer/Project)</t>
  </si>
  <si>
    <t>Scheme Detail</t>
  </si>
  <si>
    <t>Value
(BDT or %)</t>
  </si>
  <si>
    <t>Valid Period</t>
  </si>
  <si>
    <t>Conditions / Notes</t>
  </si>
  <si>
    <t>Collected By</t>
  </si>
  <si>
    <t>Visit Date</t>
  </si>
  <si>
    <t>Volume Rebate</t>
  </si>
  <si>
    <t>Dealer</t>
  </si>
  <si>
    <t>Buy 500+ bags/month → BDT 8/bag rebate</t>
  </si>
  <si>
    <t>8 BDT/bag</t>
  </si>
  <si>
    <t>Jan–Mar 2026</t>
  </si>
  <si>
    <t>Credited monthly to account</t>
  </si>
  <si>
    <t>Display Commission</t>
  </si>
  <si>
    <t>Retailer</t>
  </si>
  <si>
    <t>Keep Shah signboard + display 50 bags → BDT 500/month</t>
  </si>
  <si>
    <t>500 BDT/mo</t>
  </si>
  <si>
    <t>Ongoing</t>
  </si>
  <si>
    <t>Visited and confirmed display installed</t>
  </si>
  <si>
    <t>Cash Discount</t>
  </si>
  <si>
    <t>Pay within 7 days → extra 3 BDT/bag discount</t>
  </si>
  <si>
    <t>3 BDT/bag</t>
  </si>
  <si>
    <t>Rep to confirm at next visit</t>
  </si>
  <si>
    <t>Project Special</t>
  </si>
  <si>
    <t>Project</t>
  </si>
  <si>
    <t>Project &gt;500 MT → special ex-factory less 5%</t>
  </si>
  <si>
    <t>5%</t>
  </si>
  <si>
    <t>Case by case</t>
  </si>
  <si>
    <t>Requires area manager approval</t>
  </si>
  <si>
    <t>Loyalty Bonus</t>
  </si>
  <si>
    <t>Exclusive dealer &gt;800 bags/mo → BDT 5000 bonus</t>
  </si>
  <si>
    <t>5000 BDT/mo</t>
  </si>
  <si>
    <t>Q1 2026</t>
  </si>
  <si>
    <t>Currently 2 dealers qualify in territory</t>
  </si>
  <si>
    <t>SECTION E – SHOP &amp; DEALER SENTIMENT TRACKER  (rep-collected field sentiment)</t>
  </si>
  <si>
    <t>Shop Name</t>
  </si>
  <si>
    <t>Shop Type</t>
  </si>
  <si>
    <t>Overall
Sentiment</t>
  </si>
  <si>
    <t>Sentiment
Toward Our Brand</t>
  </si>
  <si>
    <t>Top Complaint
About Our Brand</t>
  </si>
  <si>
    <t>Most Praised
Competitor</t>
  </si>
  <si>
    <t>Why Competitor
Praised</t>
  </si>
  <si>
    <t>Switching
Risk (1-5)</t>
  </si>
  <si>
    <t>Brand
Loyalty Score (1-5)</t>
  </si>
  <si>
    <t>Rep Notes
(Latest Visit)</t>
  </si>
  <si>
    <t>Karim Hardware</t>
  </si>
  <si>
    <t>Very Positive</t>
  </si>
  <si>
    <t>Delivery delay in Jan</t>
  </si>
  <si>
    <t>Better credit terms</t>
  </si>
  <si>
    <t>Loyal but watching Shah's scheme</t>
  </si>
  <si>
    <t>Rahman General</t>
  </si>
  <si>
    <t>Price too high vs Shah</t>
  </si>
  <si>
    <t>Cheaper by 15 BDT/bag</t>
  </si>
  <si>
    <t>At risk – match Shah or lose</t>
  </si>
  <si>
    <t>City Constructions</t>
  </si>
  <si>
    <t>Need OPC 53 grade</t>
  </si>
  <si>
    <t>Technical specs preferred by engineer</t>
  </si>
  <si>
    <t>Engineer-driven; provide OPC 53 data</t>
  </si>
  <si>
    <t>Al-Amin Store</t>
  </si>
  <si>
    <t>No display support, no signage</t>
  </si>
  <si>
    <t>Gave free signboard + display rack</t>
  </si>
  <si>
    <t>HIGH RISK – urgent support needed</t>
  </si>
  <si>
    <t>Noor Paints &amp; Hardware</t>
  </si>
  <si>
    <t>None</t>
  </si>
  <si>
    <t>Brand ambassador – use for referral</t>
  </si>
  <si>
    <t>SECTION F – COMPETITOR ACTIVITY LOG &amp; TERRITORY ALERTS  (events &amp; changes in the field)</t>
  </si>
  <si>
    <t>Date Observed</t>
  </si>
  <si>
    <t>Competitor</t>
  </si>
  <si>
    <t>Activity Type</t>
  </si>
  <si>
    <t>Description</t>
  </si>
  <si>
    <t>Impact
Level (H/M/L)</t>
  </si>
  <si>
    <t>Affected
Shops/Projects</t>
  </si>
  <si>
    <t>Recommended
Our Response</t>
  </si>
  <si>
    <t>Reported By</t>
  </si>
  <si>
    <t>New Dealer Appointment</t>
  </si>
  <si>
    <t>Shah appointed new exclusive dealer in Mirpur-1 (was our dealer Karim)</t>
  </si>
  <si>
    <t>HIGH</t>
  </si>
  <si>
    <t>Karim Hardware, 5 retailers</t>
  </si>
  <si>
    <t>Immediate retention visit to Karim. Counter-offer needed.</t>
  </si>
  <si>
    <t>Price Drop</t>
  </si>
  <si>
    <t>Premier dropped retail price by 10 BDT/bag effective Feb 15</t>
  </si>
  <si>
    <t>MEDIUM</t>
  </si>
  <si>
    <t>12 retailers in territory</t>
  </si>
  <si>
    <t>Monitor sales impact. Consider selective matching.</t>
  </si>
  <si>
    <t>Promotional Campaign</t>
  </si>
  <si>
    <t>Shah rep distributing free bags to masons/contractors – 2 bags per project introduction</t>
  </si>
  <si>
    <t>3 active projects</t>
  </si>
  <si>
    <t>Offer mason influencer program countermeasure</t>
  </si>
  <si>
    <t>10/02/2026</t>
  </si>
  <si>
    <t>Product Launch</t>
  </si>
  <si>
    <t>Crown launched new PSC (slag) cement targeting project segment at 10% lower price</t>
  </si>
  <si>
    <t>City Constructions, 2 other projects</t>
  </si>
  <si>
    <t>Share technical comparison. Arrange lab test report.</t>
  </si>
  <si>
    <t>05/02/2026</t>
  </si>
  <si>
    <t>Supply Disruption</t>
  </si>
  <si>
    <t>Meghna delivery disrupted for 3 weeks – shops running low stock</t>
  </si>
  <si>
    <t>LOW</t>
  </si>
  <si>
    <t>8 retailers</t>
  </si>
  <si>
    <t>Opportunity window to capture Meghna's retailers</t>
  </si>
  <si>
    <t>SECTION G – TRANSPORTATION &amp; LOGISTICS INTELLIGENCE</t>
  </si>
  <si>
    <t>Route / Origin</t>
  </si>
  <si>
    <t>Distance
(km)</t>
  </si>
  <si>
    <t>Transport Mode</t>
  </si>
  <si>
    <t>Standard Cost
(BDT/MT)</t>
  </si>
  <si>
    <t>Cost Per
Bag (BDT)</t>
  </si>
  <si>
    <t>Transit Time
(Days)</t>
  </si>
  <si>
    <t>Reliability
Rating (1-5)</t>
  </si>
  <si>
    <t>Bottlenecks
/ Issues</t>
  </si>
  <si>
    <t>Last Verified</t>
  </si>
  <si>
    <t>Factory → Dhaka Depot</t>
  </si>
  <si>
    <t>Truck (10-ton)</t>
  </si>
  <si>
    <t>1-2 days</t>
  </si>
  <si>
    <t>Occasional Dhaka entry restriction</t>
  </si>
  <si>
    <t>Dhaka Depot → Mirpur-1</t>
  </si>
  <si>
    <t>Mini-truck (3-ton)</t>
  </si>
  <si>
    <t>Same day</t>
  </si>
  <si>
    <t>Traffic congestion avg 2hr</t>
  </si>
  <si>
    <t>Factory → Mirpur-1 (direct)</t>
  </si>
  <si>
    <t>1 day</t>
  </si>
  <si>
    <t>Viable for 500+ bag orders only</t>
  </si>
  <si>
    <t>⚙ DEVELOPER INSTRUCTIONS – MI-1 TERRITORY DASHBOARD</t>
  </si>
  <si>
    <t>• All sections on this screen filter by the selected Territory (Thana). This is the MASTER filter for the entire dashboard.</t>
  </si>
  <si>
    <t>• SECTION A market size: aggregate from market_intel_visits table. Use rolling 6-month window from today's date.</t>
  </si>
  <si>
    <t>• SECTION B brand share: source from shop_brands table (which brands each shop stocks/sells) + visit intel entries.</t>
  </si>
  <si>
    <t>• SECTION C pricing: source from price_intel table. Show 'Last Updated' prominently. Flag data &gt; 30 days old in orange.</t>
  </si>
  <si>
    <t>• SECTION D schemes: source from competitor_schemes table. Allow SR to add new schemes from mobile app during visit.</t>
  </si>
  <si>
    <t>• SECTION E sentiment: aggregate from visit_intel table, sentiment_score field. Color-code by switching_risk.</t>
  </si>
  <si>
    <t>• SECTION F alerts: source from competitor_activity_log table. HIGH alerts should trigger push notification to RSM.</t>
  </si>
  <si>
    <t>• SECTION G transport: source from transport_intel table. This is manually entered by SR or logistics team.</t>
  </si>
  <si>
    <t>• Trend arrows (↑↓→) for brand share: compare current 3-month avg vs previous 3-month avg. Auto-calculated.</t>
  </si>
  <si>
    <t>• Mobile-first design: SRs enter data from field via mobile app. Dashboard is manager/desktop view.</t>
  </si>
  <si>
    <t>• Export button: allow full territory intel export to PDF for management review.</t>
  </si>
  <si>
    <t>MARKET INTELLIGENCE – SHOP / PROJECT INTEL CARD</t>
  </si>
  <si>
    <t>Drill-down for ONE specific shop or project. Accessed by clicking a shop in the territory view.</t>
  </si>
  <si>
    <t>SECTION A – SHOP PROFILE</t>
  </si>
  <si>
    <t>Rahman General Store</t>
  </si>
  <si>
    <t>Status</t>
  </si>
  <si>
    <t>Prospect</t>
  </si>
  <si>
    <t>Owner / Contact</t>
  </si>
  <si>
    <t>Md. Abdur Rahman</t>
  </si>
  <si>
    <t>Phone</t>
  </si>
  <si>
    <t>+880-1XX-XXXXXXX</t>
  </si>
  <si>
    <t>Territory</t>
  </si>
  <si>
    <t>Mirpur-1</t>
  </si>
  <si>
    <t>Address</t>
  </si>
  <si>
    <t>House 12, Main Rd, Mirpur-1</t>
  </si>
  <si>
    <t>Dhaka</t>
  </si>
  <si>
    <t>Monthly Volume
(All Brands, Bags)</t>
  </si>
  <si>
    <t>~350 bags/month</t>
  </si>
  <si>
    <t>Our Brand
Monthly Volume</t>
  </si>
  <si>
    <t>0 (not selling)</t>
  </si>
  <si>
    <t>Market
Opportunity</t>
  </si>
  <si>
    <t>350 bags/mo</t>
  </si>
  <si>
    <t>Years in Business</t>
  </si>
  <si>
    <t>8 years</t>
  </si>
  <si>
    <t>Primary Brand Sold</t>
  </si>
  <si>
    <t>Our Brand
Relationship</t>
  </si>
  <si>
    <t>Prospect – visited 5×</t>
  </si>
  <si>
    <t>SECTION B – BRANDS THIS SHOP STOCKS &amp; SELLS  (all competitor + our brand)</t>
  </si>
  <si>
    <t>Currently
Stocking?</t>
  </si>
  <si>
    <t>Monthly Volume
(Bags)</t>
  </si>
  <si>
    <t>% of Shop
Sales</t>
  </si>
  <si>
    <t>Exclusive
Arrangement?</t>
  </si>
  <si>
    <t>Display /
Signage?</t>
  </si>
  <si>
    <t>Credit Given
by Brand</t>
  </si>
  <si>
    <t>Rep Feedback on
This Brand</t>
  </si>
  <si>
    <t>Yes – Primary</t>
  </si>
  <si>
    <t>57%</t>
  </si>
  <si>
    <t>No</t>
  </si>
  <si>
    <t>Yes – signboard</t>
  </si>
  <si>
    <t>45-day credit</t>
  </si>
  <si>
    <t>Owner very happy. Has been primary for 3 yrs.</t>
  </si>
  <si>
    <t>Yes – Secondary</t>
  </si>
  <si>
    <t>29%</t>
  </si>
  <si>
    <t>30-day credit</t>
  </si>
  <si>
    <t>Keeps for customers who ask specifically.</t>
  </si>
  <si>
    <t>Occasional</t>
  </si>
  <si>
    <t>14%</t>
  </si>
  <si>
    <t>Cash only</t>
  </si>
  <si>
    <t>Recently started after Premier rep visit.</t>
  </si>
  <si>
    <t>Not stocking</t>
  </si>
  <si>
    <t>0%</t>
  </si>
  <si>
    <t>Offered 30-day</t>
  </si>
  <si>
    <t>Price concern. Shah gives better terms.</t>
  </si>
  <si>
    <t>SECTION C – PRICES AT THIS SPECIFIC SHOP  (what prices exist HERE)</t>
  </si>
  <si>
    <t>Grade</t>
  </si>
  <si>
    <t>Purchase Price
(Shop buys at)</t>
  </si>
  <si>
    <t>Selling Price
(to consumer)</t>
  </si>
  <si>
    <t>Margin
(BDT/bag)</t>
  </si>
  <si>
    <t>Last Observed</t>
  </si>
  <si>
    <t>OPC 43</t>
  </si>
  <si>
    <t>Shop margin BDT 23/bag</t>
  </si>
  <si>
    <t>Slower moving</t>
  </si>
  <si>
    <t>Not purchased</t>
  </si>
  <si>
    <t>N/A</t>
  </si>
  <si>
    <t>Need to offer trial at 440 BDT</t>
  </si>
  <si>
    <t>SECTION D – SENTIMENT &amp; INTEL HISTORY  (per visit, what did rep learn?)</t>
  </si>
  <si>
    <t>Rep</t>
  </si>
  <si>
    <t>Shop Sentiment
Toward Our Brand</t>
  </si>
  <si>
    <t>Primary
Complaint/Barrier</t>
  </si>
  <si>
    <t>Competitor
Activity Noted</t>
  </si>
  <si>
    <t>Switching
Risk</t>
  </si>
  <si>
    <t>Action
Taken</t>
  </si>
  <si>
    <t>Follow-Up
Required</t>
  </si>
  <si>
    <t>15/01/2026</t>
  </si>
  <si>
    <t>Price too high</t>
  </si>
  <si>
    <t>Shah gave display rack</t>
  </si>
  <si>
    <t>Shared price list</t>
  </si>
  <si>
    <t>Return with counter-offer</t>
  </si>
  <si>
    <t>02/02/2026</t>
  </si>
  <si>
    <t>Slightly Negative</t>
  </si>
  <si>
    <t>Shah offering better credit (45 days vs our 30)</t>
  </si>
  <si>
    <t>Shah rep visits weekly</t>
  </si>
  <si>
    <t>Promised 45-day trial</t>
  </si>
  <si>
    <t>Confirm credit approval</t>
  </si>
  <si>
    <t>Credit approved but still undecided</t>
  </si>
  <si>
    <t>Shah new signboard installed</t>
  </si>
  <si>
    <t>Left OPC 53 sample bags</t>
  </si>
  <si>
    <t>Collect sample feedback</t>
  </si>
  <si>
    <t>PRICING INTELLIGENCE TRACKER – ALL COMPETITORS × ALL TERRITORIES</t>
  </si>
  <si>
    <t>Tracks ex-factory, transport, landing, dealer, retail prices + discounts + commissions. Updated by SRs on every visit.</t>
  </si>
  <si>
    <t>FILTERS</t>
  </si>
  <si>
    <t>Dropdown</t>
  </si>
  <si>
    <t>Multi-select</t>
  </si>
  <si>
    <t>Product Grade</t>
  </si>
  <si>
    <t>Multi-select: OPC 43 / OPC 53 / PPC / PSC / Other</t>
  </si>
  <si>
    <t>Date Range</t>
  </si>
  <si>
    <t>Date picker</t>
  </si>
  <si>
    <t>Last 30 days</t>
  </si>
  <si>
    <t>PRICE TRACKER TABLE  (one row per brand × product × territory)</t>
  </si>
  <si>
    <t>Territory
(Thana)</t>
  </si>
  <si>
    <t>Product /
Grade</t>
  </si>
  <si>
    <t>Ex-Factory
(BDT/bag)</t>
  </si>
  <si>
    <t>Transport
(BDT/bag)</t>
  </si>
  <si>
    <t>Cash
Discount</t>
  </si>
  <si>
    <t>Credit
Discount</t>
  </si>
  <si>
    <t>Dealer
Commission</t>
  </si>
  <si>
    <t>Mason /
Influencer Incentive</t>
  </si>
  <si>
    <t>Date
Collected</t>
  </si>
  <si>
    <t>5 BDT</t>
  </si>
  <si>
    <t>8 BDT</t>
  </si>
  <si>
    <t>12 BDT</t>
  </si>
  <si>
    <t>None currently</t>
  </si>
  <si>
    <t>15 BDT</t>
  </si>
  <si>
    <t>2 bags/project intro</t>
  </si>
  <si>
    <t>3 BDT</t>
  </si>
  <si>
    <t>10 BDT</t>
  </si>
  <si>
    <t>Scancement</t>
  </si>
  <si>
    <t>2 BDT</t>
  </si>
  <si>
    <t>4 BDT</t>
  </si>
  <si>
    <t>Tech support for projects</t>
  </si>
  <si>
    <t>Uttara-4</t>
  </si>
  <si>
    <t>23/02/2026</t>
  </si>
  <si>
    <t>Display rack offer</t>
  </si>
  <si>
    <t>21/02/2026</t>
  </si>
  <si>
    <t>⚙ DEVELOPER NOTES – PRICING TABLE</t>
  </si>
  <si>
    <t>• Source table: price_intel. Key fields: territory_id, brand_id, product_grade, ex_factory, transport_cost, dealer_price, retail_price, cash_discount, credit_discount, dealer_commission, influencer_incentive, collected_by, collected_date.</t>
  </si>
  <si>
    <t>• Landing price = ex_factory + transport. Always compute as formula, never hardcode.</t>
  </si>
  <si>
    <t>• Flag stale data: if collected_date &gt; 30 days ago, highlight cell in orange and show warning icon in UI.</t>
  </si>
  <si>
    <t>• Price comparison chart: show our brand vs top 3 competitors on landing + retail price bar chart per territory.</t>
  </si>
  <si>
    <t>• Allow SR to submit price update from mobile during visit. New entry creates new row (history preserved).</t>
  </si>
  <si>
    <t>• 'Latest Price' view = most recent row per brand × product × territory. Historical view shows all rows.</t>
  </si>
  <si>
    <t>BRAND SHARE ANALYSIS – BY TERRITORY  (market share, trend, dominance)</t>
  </si>
  <si>
    <t>Aggregated from all shop brand stock data + visit intel. Shows who is winning and why per territory.</t>
  </si>
  <si>
    <t>BRAND SHARE SUMMARY – TERRITORY: MIRPUR-1  (sample data)</t>
  </si>
  <si>
    <t>Company</t>
  </si>
  <si>
    <t>Shops
Stocking</t>
  </si>
  <si>
    <t>Shops
Primary Brand</t>
  </si>
  <si>
    <t>Est. Volume
(bags/mo)</t>
  </si>
  <si>
    <t>Market
Share %</t>
  </si>
  <si>
    <t>vs Last
3 Months</t>
  </si>
  <si>
    <t>Trend</t>
  </si>
  <si>
    <t>Dominance
Score (1-10)</t>
  </si>
  <si>
    <t>Top Reason for
Dominance / Weakness</t>
  </si>
  <si>
    <t>Rising
Threat?</t>
  </si>
  <si>
    <t>+1.2%</t>
  </si>
  <si>
    <t>Good distribution, improving quality perception</t>
  </si>
  <si>
    <t>+3.8%</t>
  </si>
  <si>
    <t>↑↑</t>
  </si>
  <si>
    <t>Price leadership + aggressive dealer schemes</t>
  </si>
  <si>
    <t>YES – RISING FAST</t>
  </si>
  <si>
    <t>-2.1%</t>
  </si>
  <si>
    <t>Losing ground to Shah on price</t>
  </si>
  <si>
    <t>Engineer/consultant preference in projects</t>
  </si>
  <si>
    <t>+1.5%</t>
  </si>
  <si>
    <t>New dealer driving volumes</t>
  </si>
  <si>
    <t>Moderate</t>
  </si>
  <si>
    <t>-4.2%</t>
  </si>
  <si>
    <t>↓↓</t>
  </si>
  <si>
    <t>Supply disruption losing loyal shops</t>
  </si>
  <si>
    <t>Others</t>
  </si>
  <si>
    <t>-0.2%</t>
  </si>
  <si>
    <t>Local/cheap brands for price-only buyers</t>
  </si>
  <si>
    <t>WHY COMPETITORS ARE DOMINANT – REASON ANALYSIS  (aggregated from all visit intel)</t>
  </si>
  <si>
    <t>Dominance Reason Category</t>
  </si>
  <si>
    <t>Times Cited
(# Visit Reports)</t>
  </si>
  <si>
    <t>% of Total
Citations</t>
  </si>
  <si>
    <t>Most Affected
Shop Types</t>
  </si>
  <si>
    <t>Our Counter-Strategy</t>
  </si>
  <si>
    <t>Price (Competitor cheaper)</t>
  </si>
  <si>
    <t>Retailer, Dealer</t>
  </si>
  <si>
    <t>Match price on OPC 43 in key territories. Price parity campaign.</t>
  </si>
  <si>
    <t>Better Credit Terms</t>
  </si>
  <si>
    <t>Dealer, Retailer</t>
  </si>
  <si>
    <t>Extend credit to 45 days for top-30 dealers.</t>
  </si>
  <si>
    <t>Aggressive Dealer Schemes</t>
  </si>
  <si>
    <t>Launch volume rebate scheme. Match competitor bonus.</t>
  </si>
  <si>
    <t>Brand Awareness / Marketing</t>
  </si>
  <si>
    <t>Increase billboard + rep visit frequency.</t>
  </si>
  <si>
    <t>Technical Superiority (real/perceived)</t>
  </si>
  <si>
    <t>Circulate test reports. Engineer engagement program.</t>
  </si>
  <si>
    <t>Supply Reliability</t>
  </si>
  <si>
    <t>Improve delivery consistency. Track OTD metric.</t>
  </si>
  <si>
    <t>Mason / Influencer Network</t>
  </si>
  <si>
    <t>Project, Retailer</t>
  </si>
  <si>
    <t>Launch mason loyalty program in top-10 territories.</t>
  </si>
  <si>
    <t>CONSTRUCTION PROJECT TRACKER – ACTIVE &amp; COMPLETED</t>
  </si>
  <si>
    <t>Every construction project in Bangladesh captured for cement demand intelligence. Each project = potential customer.</t>
  </si>
  <si>
    <t>PROJECT REGISTRY TABLE</t>
  </si>
  <si>
    <t>Project ID</t>
  </si>
  <si>
    <t>Project Name / Description</t>
  </si>
  <si>
    <t>Location
(Thana)</t>
  </si>
  <si>
    <t>Project Type</t>
  </si>
  <si>
    <t>Project Size
(est. MT cement)</t>
  </si>
  <si>
    <t>Project Status</t>
  </si>
  <si>
    <t>Start Date</t>
  </si>
  <si>
    <t>Est. Completion</t>
  </si>
  <si>
    <t>Current Brand
Used</t>
  </si>
  <si>
    <t>Monthly
Cement Need (MT)</t>
  </si>
  <si>
    <t>Decision
Maker Name</t>
  </si>
  <si>
    <t>Contact
/ Phone</t>
  </si>
  <si>
    <t>Our Brand
Status</t>
  </si>
  <si>
    <t>Opportunity
Value (BDT)</t>
  </si>
  <si>
    <t>Assigned
Sales Rep</t>
  </si>
  <si>
    <t>PRJ-001</t>
  </si>
  <si>
    <t>6-Storey Residential – Block C, Mirpur</t>
  </si>
  <si>
    <t>Residential Building</t>
  </si>
  <si>
    <t>Active</t>
  </si>
  <si>
    <t>Jan 2026</t>
  </si>
  <si>
    <t>Dec 2026</t>
  </si>
  <si>
    <t>Eng. Kamal Hossain</t>
  </si>
  <si>
    <t>+880-1XX-001</t>
  </si>
  <si>
    <t>Prospect – proposal submitted</t>
  </si>
  <si>
    <t>PRJ-002</t>
  </si>
  <si>
    <t>Road Construction – Mirpur Link Rd</t>
  </si>
  <si>
    <t>Infrastructure</t>
  </si>
  <si>
    <t>Dec 2025</t>
  </si>
  <si>
    <t>Jun 2026</t>
  </si>
  <si>
    <t>LGED Engineer</t>
  </si>
  <si>
    <t>Govt. tender</t>
  </si>
  <si>
    <t>Not approached</t>
  </si>
  <si>
    <t>PRJ-003</t>
  </si>
  <si>
    <t>Commercial Complex – Uttara</t>
  </si>
  <si>
    <t>Commercial Building</t>
  </si>
  <si>
    <t>Feb 2026</t>
  </si>
  <si>
    <t>Mar 2027</t>
  </si>
  <si>
    <t>Architect Rashid</t>
  </si>
  <si>
    <t>+880-1XX-002</t>
  </si>
  <si>
    <t>CONVERTED – supplying</t>
  </si>
  <si>
    <t>PRJ-004</t>
  </si>
  <si>
    <t>Factory Shed – Gazipur</t>
  </si>
  <si>
    <t>Gazipur</t>
  </si>
  <si>
    <t>Industrial</t>
  </si>
  <si>
    <t>Completed</t>
  </si>
  <si>
    <t>Jun 2025</t>
  </si>
  <si>
    <t>Mr. Shahidul</t>
  </si>
  <si>
    <t>+880-1XX-003</t>
  </si>
  <si>
    <t>Closed – completed</t>
  </si>
  <si>
    <t>0</t>
  </si>
  <si>
    <t>PRJ-005</t>
  </si>
  <si>
    <t>10-Storey Apartment – Banani</t>
  </si>
  <si>
    <t>Gulshan-1</t>
  </si>
  <si>
    <t>Upcoming</t>
  </si>
  <si>
    <t>Apr 2026</t>
  </si>
  <si>
    <t>Oct 2027</t>
  </si>
  <si>
    <t>Unknown</t>
  </si>
  <si>
    <t>Developer Co. Ltd.</t>
  </si>
  <si>
    <t>+880-1XX-004</t>
  </si>
  <si>
    <t>First visit scheduled</t>
  </si>
  <si>
    <t>⚙ DEVELOPER NOTES – PROJECT TRACKER</t>
  </si>
  <si>
    <t>• Project Status ENUM: Active | Upcoming | Completed | Cancelled | On Hold.</t>
  </si>
  <si>
    <t>• Project Type ENUM: Residential Building | Commercial Building | Industrial | Infrastructure | Government | Other.</t>
  </si>
  <si>
    <t>• Opportunity Value formula: Monthly Cement Need (MT) × 20 bags/MT × retail price × remaining months. Auto-calculated.</t>
  </si>
  <si>
    <t>• 'Our Brand Status' ENUM: Not Approached | Prospect – Quoted | Proposal Submitted | Converted – Supplying | Lost | Closed.</t>
  </si>
  <si>
    <t>• Completed projects still count toward territory market size (6-month trailing average).</t>
  </si>
  <si>
    <t>• Rep should update project status on every visit. GPS coordinates captured at check-in for project location mapping.</t>
  </si>
  <si>
    <t>• Dashboard should show a heatmap of projects by territory – bubble size = project size in MT.</t>
  </si>
  <si>
    <t>DATABASE SCHEMA – MARKET INTELLIGENCE MODULE</t>
  </si>
  <si>
    <t>All tables required to power the Market Intelligence dashboard. Each table = one section below.</t>
  </si>
  <si>
    <t>TABLE: market_intel_visits  —  One record per SR visit per shop. Core intel capture table.</t>
  </si>
  <si>
    <t>Column Name</t>
  </si>
  <si>
    <t>Data Type</t>
  </si>
  <si>
    <t>Description / Notes</t>
  </si>
  <si>
    <t>intel_id</t>
  </si>
  <si>
    <t>INT PK</t>
  </si>
  <si>
    <t>Unique intel entry ID</t>
  </si>
  <si>
    <t>shop_id</t>
  </si>
  <si>
    <t>INT FK</t>
  </si>
  <si>
    <t>Link to shops table</t>
  </si>
  <si>
    <t>rep_id</t>
  </si>
  <si>
    <t>Sales rep who collected data</t>
  </si>
  <si>
    <t>visit_date</t>
  </si>
  <si>
    <t>DATE</t>
  </si>
  <si>
    <t>Date of data collection</t>
  </si>
  <si>
    <t>total_market_volume_bags</t>
  </si>
  <si>
    <t>INT</t>
  </si>
  <si>
    <t>Total bags ALL brands sold at this shop last month (as told by owner)</t>
  </si>
  <si>
    <t>our_brand_volume_bags</t>
  </si>
  <si>
    <t>Our brand's bags sold at this shop last month</t>
  </si>
  <si>
    <t>sentiment_score</t>
  </si>
  <si>
    <t>INT (1-5)</t>
  </si>
  <si>
    <t>1=Very Negative, 3=Neutral, 5=Very Positive toward our brand</t>
  </si>
  <si>
    <t>switching_risk</t>
  </si>
  <si>
    <t>1=No risk, 5=About to switch/already switched</t>
  </si>
  <si>
    <t>brand_loyalty_score</t>
  </si>
  <si>
    <t>1=No loyalty, 5=Advocate</t>
  </si>
  <si>
    <t>primary_complaint</t>
  </si>
  <si>
    <t>TEXT</t>
  </si>
  <si>
    <t>Main complaint about our brand</t>
  </si>
  <si>
    <t>most_praised_competitor</t>
  </si>
  <si>
    <t>VARCHAR(100)</t>
  </si>
  <si>
    <t>Which competitor owner praises most</t>
  </si>
  <si>
    <t>praise_reason</t>
  </si>
  <si>
    <t>Why that competitor is praised</t>
  </si>
  <si>
    <t>notes</t>
  </si>
  <si>
    <t>Free-form rep notes</t>
  </si>
  <si>
    <t>created_at</t>
  </si>
  <si>
    <t>DATETIME</t>
  </si>
  <si>
    <t>Timestamp</t>
  </si>
  <si>
    <t>TABLE: shop_brands  —  Which brands each shop stocks. Updated each visit.</t>
  </si>
  <si>
    <t>id</t>
  </si>
  <si>
    <t>brand_id</t>
  </si>
  <si>
    <t>Link to brands/competitors table</t>
  </si>
  <si>
    <t>is_stocking</t>
  </si>
  <si>
    <t>BOOLEAN</t>
  </si>
  <si>
    <t>Currently in stock</t>
  </si>
  <si>
    <t>is_primary_brand</t>
  </si>
  <si>
    <t>Is this their main brand?</t>
  </si>
  <si>
    <t>monthly_volume_bags</t>
  </si>
  <si>
    <t>Est. monthly volume of this brand at this shop</t>
  </si>
  <si>
    <t>has_exclusive</t>
  </si>
  <si>
    <t>Exclusive arrangement with this brand?</t>
  </si>
  <si>
    <t>has_display</t>
  </si>
  <si>
    <t>Display / signage present?</t>
  </si>
  <si>
    <t>credit_days</t>
  </si>
  <si>
    <t>Credit days given by this brand to this shop</t>
  </si>
  <si>
    <t>last_updated</t>
  </si>
  <si>
    <t>When this record was last verified by SR</t>
  </si>
  <si>
    <t>TABLE: price_intel  —  Price observations collected by SRs in the field.</t>
  </si>
  <si>
    <t>price_id</t>
  </si>
  <si>
    <t>territory_id</t>
  </si>
  <si>
    <t>product_grade</t>
  </si>
  <si>
    <t>ENUM</t>
  </si>
  <si>
    <t>OPC43|OPC53|PPC|PSC|Other</t>
  </si>
  <si>
    <t>ex_factory_bdt</t>
  </si>
  <si>
    <t>DECIMAL(10,2)</t>
  </si>
  <si>
    <t>Ex-factory price per bag BDT</t>
  </si>
  <si>
    <t>transport_cost_bdt</t>
  </si>
  <si>
    <t>Transport cost to this territory per bag</t>
  </si>
  <si>
    <t>dealer_price_bdt</t>
  </si>
  <si>
    <t>Price dealer buys at</t>
  </si>
  <si>
    <t>retail_price_bdt</t>
  </si>
  <si>
    <t>Consumer/retail price</t>
  </si>
  <si>
    <t>cash_discount_bdt</t>
  </si>
  <si>
    <t>Cash payment discount per bag</t>
  </si>
  <si>
    <t>credit_discount_bdt</t>
  </si>
  <si>
    <t>Credit payment discount per bag</t>
  </si>
  <si>
    <t>dealer_commission_bdt</t>
  </si>
  <si>
    <t>Dealer commission per bag</t>
  </si>
  <si>
    <t>mason_incentive</t>
  </si>
  <si>
    <t>Description of any mason/influencer incentive</t>
  </si>
  <si>
    <t>collected_by</t>
  </si>
  <si>
    <t>collected_date</t>
  </si>
  <si>
    <t>TABLE: competitor_activity_log  —  Field-observed competitor events and activities.</t>
  </si>
  <si>
    <t>activity_id</t>
  </si>
  <si>
    <t>Competitor brand</t>
  </si>
  <si>
    <t>activity_type</t>
  </si>
  <si>
    <t>Dealer Appointment|Price Drop|Price Increase|Scheme Launch|Product Launch|Supply Disruption|Promotional Campaign|Other</t>
  </si>
  <si>
    <t>description</t>
  </si>
  <si>
    <t>Full description of what was observed</t>
  </si>
  <si>
    <t>impact_level</t>
  </si>
  <si>
    <t>HIGH|MEDIUM|LOW</t>
  </si>
  <si>
    <t>affected_shops</t>
  </si>
  <si>
    <t>Comma-separated shop IDs or description</t>
  </si>
  <si>
    <t>recommended_response</t>
  </si>
  <si>
    <t>SR/manager recommended counter-action</t>
  </si>
  <si>
    <t>observed_date</t>
  </si>
  <si>
    <t>reported_by</t>
  </si>
  <si>
    <t>TABLE: competitor_schemes  —  Discount, commission, and promotional schemes by competitors.</t>
  </si>
  <si>
    <t>scheme_id</t>
  </si>
  <si>
    <t>NULL = nationwide</t>
  </si>
  <si>
    <t>scheme_type</t>
  </si>
  <si>
    <t>Volume Rebate|Cash Discount|Credit Discount|Display Commission|Loyalty Bonus|Free Goods|Mason Incentive|Other</t>
  </si>
  <si>
    <t>applicable_to</t>
  </si>
  <si>
    <t>Retailer|Dealer|Project|All</t>
  </si>
  <si>
    <t>scheme_detail</t>
  </si>
  <si>
    <t>Full description</t>
  </si>
  <si>
    <t>value_description</t>
  </si>
  <si>
    <t>e.g. 8 BDT/bag or 5% or 500 BDT/month</t>
  </si>
  <si>
    <t>valid_from</t>
  </si>
  <si>
    <t>valid_to</t>
  </si>
  <si>
    <t>NULL = ongoing</t>
  </si>
  <si>
    <t>conditions</t>
  </si>
  <si>
    <t>Any conditions or minimum requirements</t>
  </si>
  <si>
    <t>TABLE: transport_intel  —  Transportation cost and logistics data per route.</t>
  </si>
  <si>
    <t>transport_id</t>
  </si>
  <si>
    <t>origin</t>
  </si>
  <si>
    <t>Factory/depot name</t>
  </si>
  <si>
    <t>Destination territory</t>
  </si>
  <si>
    <t>distance_km</t>
  </si>
  <si>
    <t>DECIMAL(8,2)</t>
  </si>
  <si>
    <t>transport_mode</t>
  </si>
  <si>
    <t>Truck 10T|Truck 5T|Mini-truck|Van|Rail|Other</t>
  </si>
  <si>
    <t>cost_per_mt_bdt</t>
  </si>
  <si>
    <t>BDT per metric ton</t>
  </si>
  <si>
    <t>cost_per_bag_bdt</t>
  </si>
  <si>
    <t>BDT per 50kg bag</t>
  </si>
  <si>
    <t>transit_days_min</t>
  </si>
  <si>
    <t>transit_days_max</t>
  </si>
  <si>
    <t>reliability_score</t>
  </si>
  <si>
    <t>bottlenecks</t>
  </si>
  <si>
    <t>Known issues, seasonal problems</t>
  </si>
  <si>
    <t>last_verified</t>
  </si>
  <si>
    <t>verified_by</t>
  </si>
  <si>
    <t>FIELD ENUMS &amp; LOOKUP VALUES – MARKET INTELLIGENCE MODULE</t>
  </si>
  <si>
    <t>All dropdown values for every enum field across all Market Intel tables. Developer uses these for validation.</t>
  </si>
  <si>
    <t>Field / Column Name</t>
  </si>
  <si>
    <t>Table</t>
  </si>
  <si>
    <t>Allowed Values</t>
  </si>
  <si>
    <t>competitor_activity_log</t>
  </si>
  <si>
    <t>Dealer Appointment | Price Drop | Price Increase | Scheme Launch | Product Launch | Supply Disruption | Promotional Campaign | New Market Entry | Media Campaign | Other</t>
  </si>
  <si>
    <t>HIGH | MEDIUM | LOW</t>
  </si>
  <si>
    <t>HIGH triggers push notification to RSM</t>
  </si>
  <si>
    <t>competitor_schemes</t>
  </si>
  <si>
    <t>Volume Rebate | Cash Discount | Credit Discount | Display Commission | Loyalty Bonus | Free Goods | Mason/Contractor Incentive | Signage Sponsorship | Other</t>
  </si>
  <si>
    <t>Retailer | Dealer | Project | Distributor | All</t>
  </si>
  <si>
    <t>price_intel</t>
  </si>
  <si>
    <t>OPC 43 | OPC 53 | PPC (Blended) | PSC (Slag) | SRPC | Masonry Cement | Other</t>
  </si>
  <si>
    <t>OPC = Ordinary Portland Cement, PPC = Portland Pozzolana, PSC = Portland Slag</t>
  </si>
  <si>
    <t>transport_intel</t>
  </si>
  <si>
    <t>Truck 10-ton | Truck 5-ton | Mini-truck 3-ton | Van | Rail | River Boat | Other</t>
  </si>
  <si>
    <t>Bangladesh-specific modes</t>
  </si>
  <si>
    <t>project_status</t>
  </si>
  <si>
    <t>projects</t>
  </si>
  <si>
    <t>Active | Upcoming (Planned) | Completed | On Hold | Cancelled</t>
  </si>
  <si>
    <t>project_type</t>
  </si>
  <si>
    <t>Residential Building | Commercial Building | Industrial Facility | Infrastructure (Road/Bridge) | Government | Real Estate Development | Other</t>
  </si>
  <si>
    <t>our_brand_project_status</t>
  </si>
  <si>
    <t>Not Approached | Approached – No Response | Prospect – Quoted | Proposal Submitted | Converted – Supplying | Partially Supplying | Lost to Competitor | Closed – Completed</t>
  </si>
  <si>
    <t>market_intel_visits</t>
  </si>
  <si>
    <t>1 = Very Negative | 2 = Negative | 3 = Neutral | 4 = Positive | 5 = Very Positive</t>
  </si>
  <si>
    <t>Toward our brand</t>
  </si>
  <si>
    <t>1 = No Risk | 2 = Low Risk | 3 = Medium Risk | 4 = High Risk | 5 = Already Switching/Switched</t>
  </si>
  <si>
    <t>1 = No Loyalty (price buyer) | 2 = Low | 3 = Moderate | 4 = Loyal | 5 = Advocate/Recommends us</t>
  </si>
  <si>
    <t>dominance_reason</t>
  </si>
  <si>
    <t>brand_share_analysis</t>
  </si>
  <si>
    <t>Price Leadership | Better Credit Terms | Dealer Scheme | Brand Awareness | Technical Superiority | Supply Reliability | Mason/Influencer Network | Long-term Relationship | Exclusive Deal | Other</t>
  </si>
  <si>
    <t>trend_direction</t>
  </si>
  <si>
    <t>↑↑ Strong Rising | ↑ Rising | → Stable | ↓ Falling | ↓↓ Strong Falling</t>
  </si>
  <si>
    <t>Based on 3-month vs prior 3-month comparison</t>
  </si>
  <si>
    <t>1 = Very Unreliable | 2 = Unreliable | 3 = Average | 4 = Reliable | 5 = Very Reliable</t>
  </si>
  <si>
    <t>shop_type</t>
  </si>
  <si>
    <t>shops</t>
  </si>
  <si>
    <t>Retailer | Dealer | Project Site | Distributor</t>
  </si>
  <si>
    <t>shop_status</t>
  </si>
  <si>
    <t>Converted (Buying) | Prospect (Not Yet) | Inactive | Churned | Blocked</t>
  </si>
  <si>
    <t>conversion_probability</t>
  </si>
  <si>
    <t>1 = Low (unlikely 3 months) | 2 = Medium (possible 3 months) | 3 = High (likely next visit)</t>
  </si>
  <si>
    <t>For prospect shops only</t>
  </si>
  <si>
    <t>rep_role</t>
  </si>
  <si>
    <t>sales_reps</t>
  </si>
  <si>
    <t>SR (Sales Rep) | TSM (Territory Sales Manager) | AM (Area Manager) | RSM (Regional Sales Manager) | NSM (National Sales Manager)</t>
  </si>
  <si>
    <t>division</t>
  </si>
  <si>
    <t>territories</t>
  </si>
  <si>
    <t>Dhaka | Chittagong | Rajshahi | Khulna | Barisal | Sylhet | Rangpur | Mymensingh</t>
  </si>
  <si>
    <t>All 8 Bangladesh divisions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</si>
</sst>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0.0"/>
      <color rgb="FF1F3864"/>
      <name val="Arial"/>
    </font>
    <font>
      <b/>
      <sz val="14.0"/>
      <color rgb="FF1F6B75"/>
      <name val="Arial"/>
    </font>
    <font>
      <b/>
      <sz val="14.0"/>
      <color rgb="FF1F3864"/>
      <name val="Arial"/>
    </font>
    <font>
      <i/>
      <sz val="8.0"/>
      <color rgb="FF666666"/>
      <name val="Arial"/>
    </font>
    <font>
      <sz val="11.0"/>
      <color theme="1"/>
      <name val="Calibri"/>
    </font>
    <font>
      <b/>
      <sz val="14.0"/>
      <color rgb="FF375623"/>
      <name val="Arial"/>
    </font>
    <font>
      <b/>
      <sz val="14.0"/>
      <color rgb="FFC00000"/>
      <name val="Arial"/>
    </font>
    <font>
      <b/>
      <sz val="10.0"/>
      <color rgb="FFC55A11"/>
      <name val="Arial"/>
    </font>
    <font>
      <sz val="9.0"/>
      <color rgb="FF333333"/>
      <name val="Arial"/>
    </font>
    <font>
      <b/>
      <sz val="10.0"/>
      <color rgb="FF000000"/>
      <name val="Arial"/>
    </font>
    <font>
      <i/>
      <sz val="10.0"/>
      <color rgb="FF444444"/>
      <name val="Arial"/>
    </font>
    <font>
      <b/>
      <sz val="13.0"/>
      <color rgb="FFFFFFFF"/>
      <name val="Arial"/>
    </font>
    <font>
      <i/>
      <sz val="10.0"/>
      <color rgb="FF555555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AF0"/>
        <bgColor rgb="FFD9EAF0"/>
      </patternFill>
    </fill>
    <fill>
      <patternFill patternType="solid">
        <fgColor rgb="FFBDD7EE"/>
        <bgColor rgb="FFBDD7EE"/>
      </patternFill>
    </fill>
    <fill>
      <patternFill patternType="solid">
        <fgColor rgb="FF1F6B75"/>
        <bgColor rgb="FF1F6B75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5C3E7A"/>
        <bgColor rgb="FF5C3E7A"/>
      </patternFill>
    </fill>
    <fill>
      <patternFill patternType="solid">
        <fgColor rgb="FFEBE0F5"/>
        <bgColor rgb="FFEBE0F5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1" fillId="5" fontId="5" numFmtId="0" xfId="0" applyAlignment="1" applyBorder="1" applyFont="1">
      <alignment vertical="center"/>
    </xf>
    <xf borderId="1" fillId="6" fontId="6" numFmtId="0" xfId="0" applyAlignment="1" applyBorder="1" applyFill="1" applyFont="1">
      <alignment vertical="center"/>
    </xf>
    <xf borderId="1" fillId="4" fontId="5" numFmtId="0" xfId="0" applyAlignment="1" applyBorder="1" applyFont="1">
      <alignment vertical="center"/>
    </xf>
    <xf borderId="1" fillId="7" fontId="6" numFmtId="0" xfId="0" applyAlignment="1" applyBorder="1" applyFill="1" applyFont="1">
      <alignment vertical="center"/>
    </xf>
    <xf borderId="1" fillId="8" fontId="5" numFmtId="0" xfId="0" applyAlignment="1" applyBorder="1" applyFill="1" applyFont="1">
      <alignment vertical="center"/>
    </xf>
    <xf borderId="1" fillId="9" fontId="6" numFmtId="0" xfId="0" applyAlignment="1" applyBorder="1" applyFill="1" applyFont="1">
      <alignment vertical="center"/>
    </xf>
    <xf borderId="1" fillId="10" fontId="5" numFmtId="0" xfId="0" applyAlignment="1" applyBorder="1" applyFill="1" applyFont="1">
      <alignment vertical="center"/>
    </xf>
    <xf borderId="1" fillId="11" fontId="6" numFmtId="0" xfId="0" applyAlignment="1" applyBorder="1" applyFill="1" applyFont="1">
      <alignment vertical="center"/>
    </xf>
    <xf borderId="1" fillId="12" fontId="5" numFmtId="0" xfId="0" applyAlignment="1" applyBorder="1" applyFill="1" applyFont="1">
      <alignment vertical="center"/>
    </xf>
    <xf borderId="1" fillId="13" fontId="6" numFmtId="0" xfId="0" applyAlignment="1" applyBorder="1" applyFill="1" applyFont="1">
      <alignment vertical="center"/>
    </xf>
    <xf borderId="1" fillId="14" fontId="5" numFmtId="0" xfId="0" applyAlignment="1" applyBorder="1" applyFill="1" applyFont="1">
      <alignment vertical="center"/>
    </xf>
    <xf borderId="1" fillId="15" fontId="5" numFmtId="0" xfId="0" applyAlignment="1" applyBorder="1" applyFill="1" applyFont="1">
      <alignment vertical="center"/>
    </xf>
    <xf borderId="1" fillId="5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5" fillId="9" fontId="3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5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1" fillId="14" fontId="14" numFmtId="0" xfId="0" applyAlignment="1" applyBorder="1" applyFont="1">
      <alignment horizontal="center" shrinkToFit="0" vertical="center" wrapText="1"/>
    </xf>
    <xf borderId="1" fillId="14" fontId="15" numFmtId="0" xfId="0" applyAlignment="1" applyBorder="1" applyFont="1">
      <alignment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left" shrinkToFit="0" vertical="center" wrapText="1"/>
    </xf>
    <xf borderId="4" fillId="8" fontId="16" numFmtId="164" xfId="0" applyAlignment="1" applyBorder="1" applyFont="1" applyNumberFormat="1">
      <alignment horizontal="left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5" numFmtId="164" xfId="0" applyAlignment="1" applyBorder="1" applyFont="1" applyNumberFormat="1">
      <alignment horizontal="left" shrinkToFit="0" vertical="center" wrapText="1"/>
    </xf>
    <xf borderId="4" fillId="15" fontId="5" numFmtId="0" xfId="0" applyAlignment="1" applyBorder="1" applyFont="1">
      <alignment horizontal="left" shrinkToFit="0" vertical="center" wrapText="1"/>
    </xf>
    <xf borderId="4" fillId="15" fontId="5" numFmtId="164" xfId="0" applyAlignment="1" applyBorder="1" applyFont="1" applyNumberFormat="1">
      <alignment horizontal="left" shrinkToFit="0" vertical="center" wrapText="1"/>
    </xf>
    <xf borderId="4" fillId="16" fontId="5" numFmtId="0" xfId="0" applyAlignment="1" applyBorder="1" applyFill="1" applyFont="1">
      <alignment horizontal="left" shrinkToFit="0" vertical="center" wrapText="1"/>
    </xf>
    <xf borderId="4" fillId="16" fontId="5" numFmtId="164" xfId="0" applyAlignment="1" applyBorder="1" applyFont="1" applyNumberFormat="1">
      <alignment horizontal="left" shrinkToFit="0" vertical="center" wrapText="1"/>
    </xf>
    <xf borderId="1" fillId="11" fontId="4" numFmtId="0" xfId="0" applyAlignment="1" applyBorder="1" applyFont="1">
      <alignment horizontal="center" shrinkToFit="0" vertical="center" wrapText="1"/>
    </xf>
    <xf borderId="4" fillId="11" fontId="4" numFmtId="0" xfId="0" applyAlignment="1" applyBorder="1" applyFont="1">
      <alignment horizontal="center" shrinkToFit="0" vertical="center" wrapText="1"/>
    </xf>
    <xf borderId="4" fillId="8" fontId="16" numFmtId="3" xfId="0" applyAlignment="1" applyBorder="1" applyFont="1" applyNumberFormat="1">
      <alignment horizontal="left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2" fontId="5" numFmtId="3" xfId="0" applyAlignment="1" applyBorder="1" applyFont="1" applyNumberFormat="1">
      <alignment horizontal="left" shrinkToFit="0" vertical="center" wrapText="1"/>
    </xf>
    <xf borderId="4" fillId="16" fontId="5" numFmtId="3" xfId="0" applyAlignment="1" applyBorder="1" applyFont="1" applyNumberFormat="1">
      <alignment horizontal="left" shrinkToFit="0" vertical="center" wrapText="1"/>
    </xf>
    <xf borderId="1" fillId="13" fontId="4" numFmtId="0" xfId="0" applyAlignment="1" applyBorder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14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5" numFmtId="3" xfId="0" applyAlignment="1" applyBorder="1" applyFont="1" applyNumberFormat="1">
      <alignment horizontal="left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4" fillId="15" fontId="5" numFmtId="3" xfId="0" applyAlignment="1" applyBorder="1" applyFont="1" applyNumberFormat="1">
      <alignment horizontal="left" shrinkToFit="0" vertical="center" wrapText="1"/>
    </xf>
    <xf borderId="4" fillId="8" fontId="5" numFmtId="3" xfId="0" applyAlignment="1" applyBorder="1" applyFont="1" applyNumberFormat="1">
      <alignment horizontal="left" shrinkToFit="0" vertical="center" wrapText="1"/>
    </xf>
    <xf borderId="4" fillId="5" fontId="5" numFmtId="3" xfId="0" applyAlignment="1" applyBorder="1" applyFont="1" applyNumberFormat="1">
      <alignment horizontal="left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16" fontId="16" numFmtId="0" xfId="0" applyAlignment="1" applyBorder="1" applyFont="1">
      <alignment horizontal="left" shrinkToFit="0" vertical="center" wrapText="1"/>
    </xf>
    <xf borderId="4" fillId="16" fontId="17" numFmtId="0" xfId="0" applyAlignment="1" applyBorder="1" applyFont="1">
      <alignment horizontal="left" shrinkToFit="0" vertical="center" wrapText="1"/>
    </xf>
    <xf borderId="4" fillId="15" fontId="16" numFmtId="0" xfId="0" applyAlignment="1" applyBorder="1" applyFont="1">
      <alignment horizontal="left" shrinkToFit="0" vertical="center" wrapText="1"/>
    </xf>
    <xf borderId="4" fillId="15" fontId="17" numFmtId="0" xfId="0" applyAlignment="1" applyBorder="1" applyFont="1">
      <alignment horizontal="left" shrinkToFit="0" vertical="center" wrapText="1"/>
    </xf>
    <xf borderId="4" fillId="16" fontId="19" numFmtId="0" xfId="0" applyAlignment="1" applyBorder="1" applyFont="1">
      <alignment horizontal="left" shrinkToFit="0" vertical="center" wrapText="1"/>
    </xf>
    <xf borderId="4" fillId="12" fontId="16" numFmtId="0" xfId="0" applyAlignment="1" applyBorder="1" applyFont="1">
      <alignment horizontal="left" shrinkToFit="0" vertical="center" wrapText="1"/>
    </xf>
    <xf borderId="4" fillId="12" fontId="17" numFmtId="0" xfId="0" applyAlignment="1" applyBorder="1" applyFont="1">
      <alignment horizontal="left" shrinkToFit="0" vertical="center" wrapText="1"/>
    </xf>
    <xf borderId="4" fillId="12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42.0"/>
    <col customWidth="1" min="3" max="3" width="22.0"/>
    <col customWidth="1" min="4" max="4" width="30.0"/>
    <col customWidth="1" min="5" max="6" width="5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7.5" customHeight="1"/>
    <row r="4" ht="21.75" customHeight="1">
      <c r="A4" s="5" t="s">
        <v>2</v>
      </c>
      <c r="B4" s="2"/>
      <c r="C4" s="2"/>
      <c r="D4" s="2"/>
      <c r="E4" s="2"/>
      <c r="F4" s="3"/>
    </row>
    <row r="5" ht="21.75" customHeight="1">
      <c r="A5" s="6" t="s">
        <v>3</v>
      </c>
      <c r="B5" s="2"/>
      <c r="C5" s="2"/>
      <c r="D5" s="2"/>
      <c r="E5" s="2"/>
      <c r="F5" s="3"/>
    </row>
    <row r="6" ht="21.75" customHeight="1">
      <c r="A6" s="6" t="s">
        <v>4</v>
      </c>
      <c r="B6" s="2"/>
      <c r="C6" s="2"/>
      <c r="D6" s="2"/>
      <c r="E6" s="2"/>
      <c r="F6" s="3"/>
    </row>
    <row r="7" ht="21.75" customHeight="1">
      <c r="A7" s="6" t="s">
        <v>5</v>
      </c>
      <c r="B7" s="2"/>
      <c r="C7" s="2"/>
      <c r="D7" s="2"/>
      <c r="E7" s="2"/>
      <c r="F7" s="3"/>
    </row>
    <row r="8" ht="21.75" customHeight="1">
      <c r="A8" s="6" t="s">
        <v>6</v>
      </c>
      <c r="B8" s="2"/>
      <c r="C8" s="2"/>
      <c r="D8" s="2"/>
      <c r="E8" s="2"/>
      <c r="F8" s="3"/>
    </row>
    <row r="9" ht="7.5" customHeight="1"/>
    <row r="10" ht="21.75" customHeight="1">
      <c r="A10" s="5" t="s">
        <v>7</v>
      </c>
      <c r="B10" s="2"/>
      <c r="C10" s="2"/>
      <c r="D10" s="2"/>
      <c r="E10" s="2"/>
      <c r="F10" s="3"/>
    </row>
    <row r="11" ht="19.5" customHeight="1">
      <c r="A11" s="7" t="s">
        <v>8</v>
      </c>
      <c r="B11" s="7" t="s">
        <v>9</v>
      </c>
      <c r="C11" s="7" t="s">
        <v>10</v>
      </c>
      <c r="D11" s="7" t="s">
        <v>11</v>
      </c>
    </row>
    <row r="12" ht="19.5" customHeight="1">
      <c r="A12" s="8" t="s">
        <v>12</v>
      </c>
      <c r="B12" s="8" t="s">
        <v>13</v>
      </c>
      <c r="C12" s="8" t="s">
        <v>14</v>
      </c>
      <c r="D12" s="8" t="s">
        <v>15</v>
      </c>
    </row>
    <row r="13" ht="19.5" customHeight="1">
      <c r="A13" s="9" t="s">
        <v>16</v>
      </c>
      <c r="B13" s="9" t="s">
        <v>17</v>
      </c>
      <c r="C13" s="9" t="s">
        <v>18</v>
      </c>
      <c r="D13" s="9" t="s">
        <v>19</v>
      </c>
    </row>
    <row r="14" ht="19.5" customHeight="1">
      <c r="A14" s="8" t="s">
        <v>20</v>
      </c>
      <c r="B14" s="8" t="s">
        <v>21</v>
      </c>
      <c r="C14" s="8" t="s">
        <v>22</v>
      </c>
      <c r="D14" s="8" t="s">
        <v>23</v>
      </c>
    </row>
    <row r="15" ht="19.5" customHeight="1">
      <c r="A15" s="9" t="s">
        <v>24</v>
      </c>
      <c r="B15" s="9" t="s">
        <v>25</v>
      </c>
      <c r="C15" s="9" t="s">
        <v>26</v>
      </c>
      <c r="D15" s="9" t="s">
        <v>27</v>
      </c>
    </row>
    <row r="16" ht="19.5" customHeight="1">
      <c r="A16" s="8" t="s">
        <v>28</v>
      </c>
      <c r="B16" s="8" t="s">
        <v>29</v>
      </c>
      <c r="C16" s="8" t="s">
        <v>18</v>
      </c>
      <c r="D16" s="8" t="s">
        <v>27</v>
      </c>
    </row>
    <row r="17" ht="19.5" customHeight="1">
      <c r="A17" s="9" t="s">
        <v>30</v>
      </c>
      <c r="B17" s="9" t="s">
        <v>31</v>
      </c>
      <c r="C17" s="9" t="s">
        <v>32</v>
      </c>
      <c r="D17" s="9" t="s">
        <v>33</v>
      </c>
    </row>
    <row r="18" ht="19.5" customHeight="1">
      <c r="A18" s="8" t="s">
        <v>34</v>
      </c>
      <c r="B18" s="8" t="s">
        <v>35</v>
      </c>
      <c r="C18" s="8" t="s">
        <v>32</v>
      </c>
      <c r="D18" s="8" t="s">
        <v>33</v>
      </c>
    </row>
    <row r="19" ht="7.5" customHeight="1"/>
    <row r="20" ht="21.75" customHeight="1">
      <c r="A20" s="5" t="s">
        <v>36</v>
      </c>
      <c r="B20" s="2"/>
      <c r="C20" s="2"/>
      <c r="D20" s="2"/>
      <c r="E20" s="2"/>
      <c r="F20" s="3"/>
    </row>
    <row r="21" ht="18.0" customHeight="1">
      <c r="A21" s="10" t="s">
        <v>37</v>
      </c>
      <c r="B21" s="2"/>
      <c r="C21" s="2"/>
      <c r="D21" s="2"/>
      <c r="E21" s="3"/>
    </row>
    <row r="22" ht="18.0" customHeight="1">
      <c r="A22" s="11" t="s">
        <v>38</v>
      </c>
      <c r="B22" s="2"/>
      <c r="C22" s="2"/>
      <c r="D22" s="2"/>
      <c r="E22" s="3"/>
    </row>
    <row r="23" ht="18.0" customHeight="1">
      <c r="A23" s="12" t="s">
        <v>39</v>
      </c>
      <c r="B23" s="2"/>
      <c r="C23" s="2"/>
      <c r="D23" s="2"/>
      <c r="E23" s="3"/>
    </row>
    <row r="24" ht="18.0" customHeight="1">
      <c r="A24" s="13" t="s">
        <v>40</v>
      </c>
      <c r="B24" s="2"/>
      <c r="C24" s="2"/>
      <c r="D24" s="2"/>
      <c r="E24" s="3"/>
    </row>
    <row r="25" ht="18.0" customHeight="1">
      <c r="A25" s="14" t="s">
        <v>41</v>
      </c>
      <c r="B25" s="2"/>
      <c r="C25" s="2"/>
      <c r="D25" s="2"/>
      <c r="E25" s="3"/>
    </row>
    <row r="26" ht="18.0" customHeight="1">
      <c r="A26" s="15" t="s">
        <v>42</v>
      </c>
      <c r="B26" s="2"/>
      <c r="C26" s="2"/>
      <c r="D26" s="2"/>
      <c r="E26" s="3"/>
    </row>
    <row r="27" ht="18.0" customHeight="1">
      <c r="A27" s="16" t="s">
        <v>43</v>
      </c>
      <c r="B27" s="2"/>
      <c r="C27" s="2"/>
      <c r="D27" s="2"/>
      <c r="E27" s="3"/>
    </row>
    <row r="28" ht="18.0" customHeight="1">
      <c r="A28" s="17" t="s">
        <v>44</v>
      </c>
      <c r="B28" s="2"/>
      <c r="C28" s="2"/>
      <c r="D28" s="2"/>
      <c r="E28" s="3"/>
    </row>
    <row r="29" ht="18.0" customHeight="1">
      <c r="A29" s="18" t="s">
        <v>45</v>
      </c>
      <c r="B29" s="2"/>
      <c r="C29" s="2"/>
      <c r="D29" s="2"/>
      <c r="E29" s="3"/>
    </row>
    <row r="30" ht="18.0" customHeight="1">
      <c r="A30" s="19" t="s">
        <v>46</v>
      </c>
      <c r="B30" s="2"/>
      <c r="C30" s="2"/>
      <c r="D30" s="2"/>
      <c r="E30" s="3"/>
    </row>
    <row r="31" ht="18.0" customHeight="1">
      <c r="A31" s="20" t="s">
        <v>47</v>
      </c>
      <c r="B31" s="2"/>
      <c r="C31" s="2"/>
      <c r="D31" s="2"/>
      <c r="E31" s="3"/>
    </row>
    <row r="32" ht="18.0" customHeight="1">
      <c r="A32" s="21" t="s">
        <v>48</v>
      </c>
      <c r="B32" s="2"/>
      <c r="C32" s="2"/>
      <c r="D32" s="2"/>
      <c r="E32" s="3"/>
    </row>
    <row r="33" ht="18.0" customHeight="1">
      <c r="A33" s="22" t="s">
        <v>49</v>
      </c>
      <c r="B33" s="2"/>
      <c r="C33" s="2"/>
      <c r="D33" s="2"/>
      <c r="E33" s="3"/>
    </row>
    <row r="34" ht="18.0" customHeight="1">
      <c r="A34" s="23" t="s">
        <v>50</v>
      </c>
      <c r="B34" s="2"/>
      <c r="C34" s="2"/>
      <c r="D34" s="2"/>
      <c r="E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F1"/>
    <mergeCell ref="A2:F2"/>
    <mergeCell ref="A4:F4"/>
    <mergeCell ref="A5:F5"/>
    <mergeCell ref="A6:F6"/>
    <mergeCell ref="A7:F7"/>
    <mergeCell ref="A8:F8"/>
    <mergeCell ref="A10:F10"/>
    <mergeCell ref="A20:F20"/>
    <mergeCell ref="A21:E21"/>
    <mergeCell ref="A22:E22"/>
    <mergeCell ref="A23:E23"/>
    <mergeCell ref="A24:E24"/>
    <mergeCell ref="A25:E25"/>
    <mergeCell ref="A33:E33"/>
    <mergeCell ref="A34:E34"/>
    <mergeCell ref="A26:E26"/>
    <mergeCell ref="A27:E27"/>
    <mergeCell ref="A28:E28"/>
    <mergeCell ref="A29:E29"/>
    <mergeCell ref="A30:E30"/>
    <mergeCell ref="A31:E31"/>
    <mergeCell ref="A32:E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20.0"/>
    <col customWidth="1" min="4" max="4" width="16.0"/>
    <col customWidth="1" min="5" max="6" width="14.0"/>
    <col customWidth="1" min="7" max="7" width="16.0"/>
    <col customWidth="1" min="8" max="8" width="35.0"/>
    <col customWidth="1" min="9" max="9" width="14.0"/>
    <col customWidth="1" min="10" max="10" width="40.0"/>
    <col customWidth="1" min="11" max="12" width="16.0"/>
    <col customWidth="1" min="13" max="26" width="8.71"/>
  </cols>
  <sheetData>
    <row r="1" ht="36.0" customHeight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/>
    <row r="4" ht="21.75" customHeight="1">
      <c r="A4" s="24" t="s">
        <v>53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18.0" customHeight="1">
      <c r="A5" s="7" t="s">
        <v>54</v>
      </c>
      <c r="B5" s="7" t="s">
        <v>55</v>
      </c>
      <c r="C5" s="7" t="s">
        <v>56</v>
      </c>
      <c r="D5" s="7" t="s">
        <v>57</v>
      </c>
      <c r="E5" s="7" t="s">
        <v>58</v>
      </c>
    </row>
    <row r="6" ht="18.0" customHeight="1">
      <c r="A6" s="8">
        <v>1.0</v>
      </c>
      <c r="B6" s="8" t="s">
        <v>59</v>
      </c>
      <c r="C6" s="8" t="s">
        <v>60</v>
      </c>
      <c r="D6" s="8" t="s">
        <v>61</v>
      </c>
      <c r="E6" s="8" t="s">
        <v>62</v>
      </c>
    </row>
    <row r="7" ht="18.0" customHeight="1">
      <c r="A7" s="9">
        <v>2.0</v>
      </c>
      <c r="B7" s="9" t="s">
        <v>63</v>
      </c>
      <c r="C7" s="9" t="s">
        <v>64</v>
      </c>
      <c r="D7" s="9" t="s">
        <v>61</v>
      </c>
      <c r="E7" s="9" t="s">
        <v>62</v>
      </c>
    </row>
    <row r="8" ht="18.0" customHeight="1">
      <c r="A8" s="8">
        <v>3.0</v>
      </c>
      <c r="B8" s="8" t="s">
        <v>65</v>
      </c>
      <c r="C8" s="8" t="s">
        <v>66</v>
      </c>
      <c r="D8" s="8" t="s">
        <v>67</v>
      </c>
      <c r="E8" s="8" t="s">
        <v>68</v>
      </c>
    </row>
    <row r="9" ht="18.0" customHeight="1">
      <c r="A9" s="9">
        <v>4.0</v>
      </c>
      <c r="B9" s="9" t="s">
        <v>69</v>
      </c>
      <c r="C9" s="9" t="s">
        <v>70</v>
      </c>
      <c r="D9" s="9" t="s">
        <v>71</v>
      </c>
      <c r="E9" s="9" t="s">
        <v>72</v>
      </c>
    </row>
    <row r="10" ht="18.0" customHeight="1">
      <c r="A10" s="8">
        <v>5.0</v>
      </c>
      <c r="B10" s="8" t="s">
        <v>73</v>
      </c>
      <c r="C10" s="8" t="s">
        <v>74</v>
      </c>
      <c r="D10" s="8" t="s">
        <v>61</v>
      </c>
      <c r="E10" s="8" t="s">
        <v>75</v>
      </c>
    </row>
    <row r="11" ht="7.5" customHeight="1"/>
    <row r="12" ht="21.75" customHeight="1">
      <c r="A12" s="25" t="s">
        <v>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ht="25.5" customHeight="1">
      <c r="A13" s="26" t="s">
        <v>77</v>
      </c>
      <c r="B13" s="27"/>
      <c r="C13" s="28"/>
      <c r="D13" s="26" t="s">
        <v>78</v>
      </c>
      <c r="E13" s="27"/>
      <c r="F13" s="28"/>
      <c r="G13" s="29" t="s">
        <v>79</v>
      </c>
      <c r="H13" s="27"/>
      <c r="I13" s="28"/>
      <c r="J13" s="29" t="s">
        <v>80</v>
      </c>
      <c r="K13" s="27"/>
      <c r="L13" s="28"/>
    </row>
    <row r="14" ht="25.5" customHeight="1">
      <c r="A14" s="30" t="s">
        <v>81</v>
      </c>
      <c r="B14" s="27"/>
      <c r="C14" s="28"/>
      <c r="D14" s="30" t="s">
        <v>81</v>
      </c>
      <c r="E14" s="27"/>
      <c r="F14" s="28"/>
      <c r="G14" s="31" t="s">
        <v>81</v>
      </c>
      <c r="H14" s="27"/>
      <c r="I14" s="28"/>
      <c r="J14" s="31" t="s">
        <v>81</v>
      </c>
      <c r="K14" s="27"/>
      <c r="L14" s="28"/>
    </row>
    <row r="15" ht="25.5" customHeight="1">
      <c r="A15" s="32" t="s">
        <v>82</v>
      </c>
      <c r="B15" s="27"/>
      <c r="C15" s="28"/>
      <c r="D15" s="32" t="s">
        <v>83</v>
      </c>
      <c r="E15" s="27"/>
      <c r="F15" s="28"/>
      <c r="G15" s="32" t="s">
        <v>84</v>
      </c>
      <c r="H15" s="27"/>
      <c r="I15" s="28"/>
      <c r="J15" s="32" t="s">
        <v>85</v>
      </c>
      <c r="K15" s="27"/>
      <c r="L15" s="28"/>
    </row>
    <row r="16" ht="25.5" customHeight="1">
      <c r="A16" s="33" t="s">
        <v>86</v>
      </c>
      <c r="B16" s="27"/>
      <c r="C16" s="28"/>
      <c r="D16" s="34" t="s">
        <v>87</v>
      </c>
      <c r="E16" s="27"/>
      <c r="F16" s="28"/>
      <c r="G16" s="26" t="s">
        <v>88</v>
      </c>
      <c r="H16" s="27"/>
      <c r="I16" s="28"/>
      <c r="J16" s="35"/>
      <c r="K16" s="35"/>
      <c r="L16" s="35"/>
    </row>
    <row r="17" ht="25.5" customHeight="1">
      <c r="A17" s="36" t="s">
        <v>81</v>
      </c>
      <c r="B17" s="27"/>
      <c r="C17" s="28"/>
      <c r="D17" s="37" t="s">
        <v>81</v>
      </c>
      <c r="E17" s="27"/>
      <c r="F17" s="28"/>
      <c r="G17" s="30" t="s">
        <v>81</v>
      </c>
      <c r="H17" s="27"/>
      <c r="I17" s="28"/>
      <c r="J17" s="35"/>
      <c r="K17" s="35"/>
      <c r="L17" s="35"/>
    </row>
    <row r="18" ht="25.5" customHeight="1">
      <c r="A18" s="32" t="s">
        <v>89</v>
      </c>
      <c r="B18" s="27"/>
      <c r="C18" s="28"/>
      <c r="D18" s="32" t="s">
        <v>90</v>
      </c>
      <c r="E18" s="27"/>
      <c r="F18" s="28"/>
      <c r="G18" s="32" t="s">
        <v>91</v>
      </c>
      <c r="H18" s="27"/>
      <c r="I18" s="28"/>
      <c r="J18" s="35"/>
      <c r="K18" s="35"/>
      <c r="L18" s="35"/>
    </row>
    <row r="19" ht="7.5" customHeight="1"/>
    <row r="20" ht="19.5" customHeight="1">
      <c r="A20" s="38" t="s">
        <v>92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18.0" customHeight="1">
      <c r="A21" s="39" t="s">
        <v>93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ht="18.0" customHeight="1">
      <c r="A22" s="39" t="s">
        <v>94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8.0" customHeight="1">
      <c r="A23" s="39" t="s">
        <v>95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ht="18.0" customHeight="1">
      <c r="A24" s="39" t="s">
        <v>96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ht="18.0" customHeight="1">
      <c r="A25" s="39" t="s">
        <v>97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ht="18.0" customHeight="1">
      <c r="A26" s="39" t="s">
        <v>98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7.5" customHeight="1"/>
    <row r="28" ht="21.75" customHeight="1">
      <c r="A28" s="40" t="s">
        <v>99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ht="36.0" customHeight="1">
      <c r="A29" s="41" t="s">
        <v>100</v>
      </c>
      <c r="B29" s="41" t="s">
        <v>101</v>
      </c>
      <c r="C29" s="41" t="s">
        <v>102</v>
      </c>
      <c r="D29" s="41" t="s">
        <v>103</v>
      </c>
      <c r="E29" s="41" t="s">
        <v>104</v>
      </c>
      <c r="F29" s="41" t="s">
        <v>105</v>
      </c>
      <c r="G29" s="41" t="s">
        <v>106</v>
      </c>
      <c r="H29" s="41" t="s">
        <v>107</v>
      </c>
      <c r="I29" s="41" t="s">
        <v>108</v>
      </c>
      <c r="J29" s="41" t="s">
        <v>109</v>
      </c>
      <c r="K29" s="41" t="s">
        <v>110</v>
      </c>
    </row>
    <row r="30" ht="15.75" customHeight="1">
      <c r="A30" s="42" t="s">
        <v>111</v>
      </c>
      <c r="B30" s="42" t="s">
        <v>112</v>
      </c>
      <c r="C30" s="42">
        <v>45.0</v>
      </c>
      <c r="D30" s="42">
        <v>38.0</v>
      </c>
      <c r="E30" s="42">
        <v>18500.0</v>
      </c>
      <c r="F30" s="43" t="str">
        <f>F31/SUM(F31:F37)</f>
        <v>#REF!</v>
      </c>
      <c r="G30" s="42" t="s">
        <v>113</v>
      </c>
      <c r="H30" s="42">
        <v>3.0</v>
      </c>
      <c r="I30" s="42" t="s">
        <v>114</v>
      </c>
      <c r="J30" s="42" t="s">
        <v>115</v>
      </c>
      <c r="K30" s="42" t="s">
        <v>116</v>
      </c>
    </row>
    <row r="31" ht="15.75" customHeight="1">
      <c r="A31" s="44" t="s">
        <v>117</v>
      </c>
      <c r="B31" s="44" t="s">
        <v>118</v>
      </c>
      <c r="C31" s="44">
        <v>62.0</v>
      </c>
      <c r="D31" s="44">
        <v>55.0</v>
      </c>
      <c r="E31" s="44">
        <v>28000.0</v>
      </c>
      <c r="F31" s="45" t="str">
        <f>F32/SUM(F31:F37)</f>
        <v>#REF!</v>
      </c>
      <c r="G31" s="44" t="s">
        <v>119</v>
      </c>
      <c r="H31" s="44">
        <v>5.0</v>
      </c>
      <c r="I31" s="44" t="s">
        <v>120</v>
      </c>
      <c r="J31" s="44" t="s">
        <v>121</v>
      </c>
      <c r="K31" s="44" t="s">
        <v>122</v>
      </c>
    </row>
    <row r="32" ht="15.75" customHeight="1">
      <c r="A32" s="46" t="s">
        <v>123</v>
      </c>
      <c r="B32" s="46" t="s">
        <v>124</v>
      </c>
      <c r="C32" s="46">
        <v>38.0</v>
      </c>
      <c r="D32" s="46">
        <v>30.0</v>
      </c>
      <c r="E32" s="46">
        <v>14000.0</v>
      </c>
      <c r="F32" s="47" t="str">
        <f>F33/SUM(F31:F37)</f>
        <v>#REF!</v>
      </c>
      <c r="G32" s="46" t="s">
        <v>125</v>
      </c>
      <c r="H32" s="46">
        <v>3.0</v>
      </c>
      <c r="I32" s="46" t="s">
        <v>126</v>
      </c>
      <c r="J32" s="46" t="s">
        <v>127</v>
      </c>
      <c r="K32" s="46" t="s">
        <v>128</v>
      </c>
    </row>
    <row r="33" ht="15.75" customHeight="1">
      <c r="A33" s="48" t="s">
        <v>129</v>
      </c>
      <c r="B33" s="48" t="s">
        <v>130</v>
      </c>
      <c r="C33" s="48">
        <v>25.0</v>
      </c>
      <c r="D33" s="48">
        <v>20.0</v>
      </c>
      <c r="E33" s="48">
        <v>9500.0</v>
      </c>
      <c r="F33" s="49" t="str">
        <f>F34/SUM(F31:F37)</f>
        <v>#REF!</v>
      </c>
      <c r="G33" s="48" t="s">
        <v>113</v>
      </c>
      <c r="H33" s="48">
        <v>4.0</v>
      </c>
      <c r="I33" s="48" t="s">
        <v>131</v>
      </c>
      <c r="J33" s="48" t="s">
        <v>115</v>
      </c>
      <c r="K33" s="48" t="s">
        <v>132</v>
      </c>
    </row>
    <row r="34" ht="15.75" customHeight="1">
      <c r="A34" s="44" t="s">
        <v>133</v>
      </c>
      <c r="B34" s="44" t="s">
        <v>133</v>
      </c>
      <c r="C34" s="44">
        <v>30.0</v>
      </c>
      <c r="D34" s="44">
        <v>25.0</v>
      </c>
      <c r="E34" s="44">
        <v>11000.0</v>
      </c>
      <c r="F34" s="45" t="str">
        <f>F35/SUM(F31:F37)</f>
        <v>#REF!</v>
      </c>
      <c r="G34" s="44" t="s">
        <v>119</v>
      </c>
      <c r="H34" s="44">
        <v>3.0</v>
      </c>
      <c r="I34" s="44" t="s">
        <v>134</v>
      </c>
      <c r="J34" s="44" t="s">
        <v>121</v>
      </c>
      <c r="K34" s="44" t="s">
        <v>128</v>
      </c>
    </row>
    <row r="35" ht="15.75" customHeight="1">
      <c r="A35" s="48" t="s">
        <v>135</v>
      </c>
      <c r="B35" s="48" t="s">
        <v>136</v>
      </c>
      <c r="C35" s="48">
        <v>20.0</v>
      </c>
      <c r="D35" s="48">
        <v>15.0</v>
      </c>
      <c r="E35" s="48">
        <v>7200.0</v>
      </c>
      <c r="F35" s="49" t="str">
        <f>F36/SUM(F31:F37)</f>
        <v>#REF!</v>
      </c>
      <c r="G35" s="48" t="s">
        <v>125</v>
      </c>
      <c r="H35" s="48">
        <v>2.0</v>
      </c>
      <c r="I35" s="48" t="s">
        <v>137</v>
      </c>
      <c r="J35" s="48" t="s">
        <v>127</v>
      </c>
      <c r="K35" s="48" t="s">
        <v>138</v>
      </c>
    </row>
    <row r="36" ht="15.75" customHeight="1">
      <c r="A36" s="46" t="s">
        <v>139</v>
      </c>
      <c r="B36" s="46" t="s">
        <v>140</v>
      </c>
      <c r="C36" s="46">
        <v>15.0</v>
      </c>
      <c r="D36" s="46">
        <v>10.0</v>
      </c>
      <c r="E36" s="46">
        <v>4800.0</v>
      </c>
      <c r="F36" s="47" t="str">
        <f>F37/SUM(F31:F37)</f>
        <v>#REF!</v>
      </c>
      <c r="G36" s="46" t="s">
        <v>113</v>
      </c>
      <c r="H36" s="46">
        <v>1.0</v>
      </c>
      <c r="I36" s="46" t="s">
        <v>141</v>
      </c>
      <c r="J36" s="46" t="s">
        <v>115</v>
      </c>
      <c r="K36" s="46" t="s">
        <v>128</v>
      </c>
    </row>
    <row r="37" ht="7.5" customHeight="1"/>
    <row r="38" ht="21.75" customHeight="1">
      <c r="A38" s="50" t="s">
        <v>142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ht="36.0" customHeight="1">
      <c r="A39" s="51" t="s">
        <v>143</v>
      </c>
      <c r="B39" s="51" t="s">
        <v>144</v>
      </c>
      <c r="C39" s="51" t="s">
        <v>145</v>
      </c>
      <c r="D39" s="51" t="s">
        <v>146</v>
      </c>
      <c r="E39" s="51" t="s">
        <v>147</v>
      </c>
      <c r="F39" s="51" t="s">
        <v>148</v>
      </c>
      <c r="G39" s="51" t="s">
        <v>149</v>
      </c>
      <c r="H39" s="51" t="s">
        <v>150</v>
      </c>
      <c r="I39" s="51" t="s">
        <v>151</v>
      </c>
      <c r="J39" s="51" t="s">
        <v>152</v>
      </c>
      <c r="K39" s="51" t="s">
        <v>153</v>
      </c>
      <c r="L39" s="51" t="s">
        <v>154</v>
      </c>
    </row>
    <row r="40" ht="15.75" customHeight="1">
      <c r="A40" s="42" t="s">
        <v>111</v>
      </c>
      <c r="B40" s="42" t="s">
        <v>155</v>
      </c>
      <c r="C40" s="52">
        <v>420.0</v>
      </c>
      <c r="D40" s="52">
        <v>22.0</v>
      </c>
      <c r="E40" s="52">
        <f t="shared" ref="E40:E45" si="1">C41+D41</f>
        <v>417</v>
      </c>
      <c r="F40" s="52">
        <v>460.0</v>
      </c>
      <c r="G40" s="52">
        <v>480.0</v>
      </c>
      <c r="H40" s="52">
        <v>5.0</v>
      </c>
      <c r="I40" s="52">
        <v>8.0</v>
      </c>
      <c r="J40" s="52">
        <v>12.0</v>
      </c>
      <c r="K40" s="42" t="s">
        <v>156</v>
      </c>
      <c r="L40" s="42" t="s">
        <v>157</v>
      </c>
    </row>
    <row r="41" ht="15.75" customHeight="1">
      <c r="A41" s="42" t="s">
        <v>111</v>
      </c>
      <c r="B41" s="42" t="s">
        <v>158</v>
      </c>
      <c r="C41" s="52">
        <v>395.0</v>
      </c>
      <c r="D41" s="52">
        <v>22.0</v>
      </c>
      <c r="E41" s="52">
        <f t="shared" si="1"/>
        <v>432</v>
      </c>
      <c r="F41" s="52">
        <v>435.0</v>
      </c>
      <c r="G41" s="52">
        <v>455.0</v>
      </c>
      <c r="H41" s="52">
        <v>5.0</v>
      </c>
      <c r="I41" s="52">
        <v>8.0</v>
      </c>
      <c r="J41" s="52">
        <v>10.0</v>
      </c>
      <c r="K41" s="42" t="s">
        <v>156</v>
      </c>
      <c r="L41" s="42" t="s">
        <v>157</v>
      </c>
    </row>
    <row r="42" ht="15.75" customHeight="1">
      <c r="A42" s="53" t="s">
        <v>117</v>
      </c>
      <c r="B42" s="53" t="s">
        <v>155</v>
      </c>
      <c r="C42" s="54">
        <v>410.0</v>
      </c>
      <c r="D42" s="54">
        <v>22.0</v>
      </c>
      <c r="E42" s="54">
        <f t="shared" si="1"/>
        <v>452</v>
      </c>
      <c r="F42" s="54">
        <v>445.0</v>
      </c>
      <c r="G42" s="54">
        <v>465.0</v>
      </c>
      <c r="H42" s="54">
        <v>8.0</v>
      </c>
      <c r="I42" s="54">
        <v>12.0</v>
      </c>
      <c r="J42" s="54">
        <v>15.0</v>
      </c>
      <c r="K42" s="53" t="s">
        <v>159</v>
      </c>
      <c r="L42" s="53" t="s">
        <v>157</v>
      </c>
    </row>
    <row r="43" ht="15.75" customHeight="1">
      <c r="A43" s="48" t="s">
        <v>123</v>
      </c>
      <c r="B43" s="48" t="s">
        <v>155</v>
      </c>
      <c r="C43" s="55">
        <v>430.0</v>
      </c>
      <c r="D43" s="55">
        <v>22.0</v>
      </c>
      <c r="E43" s="55">
        <f t="shared" si="1"/>
        <v>467</v>
      </c>
      <c r="F43" s="55">
        <v>468.0</v>
      </c>
      <c r="G43" s="55">
        <v>490.0</v>
      </c>
      <c r="H43" s="55">
        <v>3.0</v>
      </c>
      <c r="I43" s="55">
        <v>5.0</v>
      </c>
      <c r="J43" s="55">
        <v>10.0</v>
      </c>
      <c r="K43" s="48" t="s">
        <v>160</v>
      </c>
      <c r="L43" s="48" t="s">
        <v>161</v>
      </c>
    </row>
    <row r="44" ht="15.75" customHeight="1">
      <c r="A44" s="53" t="s">
        <v>129</v>
      </c>
      <c r="B44" s="53" t="s">
        <v>162</v>
      </c>
      <c r="C44" s="54">
        <v>445.0</v>
      </c>
      <c r="D44" s="54">
        <v>22.0</v>
      </c>
      <c r="E44" s="54">
        <f t="shared" si="1"/>
        <v>430</v>
      </c>
      <c r="F44" s="54">
        <v>480.0</v>
      </c>
      <c r="G44" s="54">
        <v>505.0</v>
      </c>
      <c r="H44" s="54">
        <v>2.0</v>
      </c>
      <c r="I44" s="54">
        <v>4.0</v>
      </c>
      <c r="J44" s="54">
        <v>8.0</v>
      </c>
      <c r="K44" s="53" t="s">
        <v>163</v>
      </c>
      <c r="L44" s="53" t="s">
        <v>161</v>
      </c>
    </row>
    <row r="45" ht="15.75" customHeight="1">
      <c r="A45" s="48" t="s">
        <v>133</v>
      </c>
      <c r="B45" s="48" t="s">
        <v>155</v>
      </c>
      <c r="C45" s="55">
        <v>408.0</v>
      </c>
      <c r="D45" s="55">
        <v>22.0</v>
      </c>
      <c r="E45" s="55">
        <f t="shared" si="1"/>
        <v>0</v>
      </c>
      <c r="F45" s="55">
        <v>440.0</v>
      </c>
      <c r="G45" s="55">
        <v>462.0</v>
      </c>
      <c r="H45" s="55">
        <v>6.0</v>
      </c>
      <c r="I45" s="55">
        <v>10.0</v>
      </c>
      <c r="J45" s="55">
        <v>12.0</v>
      </c>
      <c r="K45" s="48" t="s">
        <v>164</v>
      </c>
      <c r="L45" s="48" t="s">
        <v>157</v>
      </c>
    </row>
    <row r="46" ht="7.5" customHeight="1"/>
    <row r="47" ht="21.75" customHeight="1">
      <c r="A47" s="56" t="s">
        <v>165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</row>
    <row r="48" ht="36.0" customHeight="1">
      <c r="A48" s="57" t="s">
        <v>143</v>
      </c>
      <c r="B48" s="57" t="s">
        <v>166</v>
      </c>
      <c r="C48" s="57" t="s">
        <v>167</v>
      </c>
      <c r="D48" s="57" t="s">
        <v>168</v>
      </c>
      <c r="E48" s="57" t="s">
        <v>169</v>
      </c>
      <c r="F48" s="57" t="s">
        <v>170</v>
      </c>
      <c r="G48" s="57" t="s">
        <v>171</v>
      </c>
      <c r="H48" s="57" t="s">
        <v>172</v>
      </c>
      <c r="I48" s="57" t="s">
        <v>173</v>
      </c>
    </row>
    <row r="49" ht="19.5" customHeight="1">
      <c r="A49" s="48" t="s">
        <v>117</v>
      </c>
      <c r="B49" s="48" t="s">
        <v>174</v>
      </c>
      <c r="C49" s="48" t="s">
        <v>175</v>
      </c>
      <c r="D49" s="48" t="s">
        <v>176</v>
      </c>
      <c r="E49" s="48" t="s">
        <v>177</v>
      </c>
      <c r="F49" s="48" t="s">
        <v>178</v>
      </c>
      <c r="G49" s="48" t="s">
        <v>179</v>
      </c>
      <c r="H49" s="48" t="s">
        <v>157</v>
      </c>
      <c r="I49" s="48" t="s">
        <v>159</v>
      </c>
    </row>
    <row r="50" ht="19.5" customHeight="1">
      <c r="A50" s="58" t="s">
        <v>117</v>
      </c>
      <c r="B50" s="58" t="s">
        <v>180</v>
      </c>
      <c r="C50" s="58" t="s">
        <v>181</v>
      </c>
      <c r="D50" s="58" t="s">
        <v>182</v>
      </c>
      <c r="E50" s="58" t="s">
        <v>183</v>
      </c>
      <c r="F50" s="58" t="s">
        <v>184</v>
      </c>
      <c r="G50" s="58" t="s">
        <v>185</v>
      </c>
      <c r="H50" s="58" t="s">
        <v>157</v>
      </c>
      <c r="I50" s="58" t="s">
        <v>159</v>
      </c>
    </row>
    <row r="51" ht="19.5" customHeight="1">
      <c r="A51" s="48" t="s">
        <v>123</v>
      </c>
      <c r="B51" s="48" t="s">
        <v>186</v>
      </c>
      <c r="C51" s="48" t="s">
        <v>181</v>
      </c>
      <c r="D51" s="48" t="s">
        <v>187</v>
      </c>
      <c r="E51" s="48" t="s">
        <v>188</v>
      </c>
      <c r="F51" s="48" t="s">
        <v>184</v>
      </c>
      <c r="G51" s="48" t="s">
        <v>189</v>
      </c>
      <c r="H51" s="48" t="s">
        <v>161</v>
      </c>
      <c r="I51" s="48" t="s">
        <v>160</v>
      </c>
    </row>
    <row r="52" ht="19.5" customHeight="1">
      <c r="A52" s="58" t="s">
        <v>129</v>
      </c>
      <c r="B52" s="58" t="s">
        <v>190</v>
      </c>
      <c r="C52" s="58" t="s">
        <v>191</v>
      </c>
      <c r="D52" s="58" t="s">
        <v>192</v>
      </c>
      <c r="E52" s="58" t="s">
        <v>193</v>
      </c>
      <c r="F52" s="58" t="s">
        <v>194</v>
      </c>
      <c r="G52" s="58" t="s">
        <v>195</v>
      </c>
      <c r="H52" s="58" t="s">
        <v>161</v>
      </c>
      <c r="I52" s="58" t="s">
        <v>163</v>
      </c>
    </row>
    <row r="53" ht="19.5" customHeight="1">
      <c r="A53" s="59" t="s">
        <v>111</v>
      </c>
      <c r="B53" s="59" t="s">
        <v>196</v>
      </c>
      <c r="C53" s="59" t="s">
        <v>175</v>
      </c>
      <c r="D53" s="59" t="s">
        <v>197</v>
      </c>
      <c r="E53" s="59" t="s">
        <v>198</v>
      </c>
      <c r="F53" s="59" t="s">
        <v>199</v>
      </c>
      <c r="G53" s="59" t="s">
        <v>200</v>
      </c>
      <c r="H53" s="59" t="s">
        <v>157</v>
      </c>
      <c r="I53" s="59" t="s">
        <v>156</v>
      </c>
    </row>
    <row r="54" ht="7.5" customHeight="1"/>
    <row r="55" ht="21.75" customHeight="1">
      <c r="A55" s="60" t="s">
        <v>201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</row>
    <row r="56" ht="36.0" customHeight="1">
      <c r="A56" s="61" t="s">
        <v>202</v>
      </c>
      <c r="B56" s="61" t="s">
        <v>203</v>
      </c>
      <c r="C56" s="61" t="s">
        <v>204</v>
      </c>
      <c r="D56" s="61" t="s">
        <v>205</v>
      </c>
      <c r="E56" s="61" t="s">
        <v>206</v>
      </c>
      <c r="F56" s="61" t="s">
        <v>207</v>
      </c>
      <c r="G56" s="61" t="s">
        <v>208</v>
      </c>
      <c r="H56" s="61" t="s">
        <v>209</v>
      </c>
      <c r="I56" s="61" t="s">
        <v>210</v>
      </c>
      <c r="J56" s="61" t="s">
        <v>211</v>
      </c>
    </row>
    <row r="57" ht="21.75" customHeight="1">
      <c r="A57" s="59" t="s">
        <v>212</v>
      </c>
      <c r="B57" s="59" t="s">
        <v>175</v>
      </c>
      <c r="C57" s="59" t="s">
        <v>116</v>
      </c>
      <c r="D57" s="59" t="s">
        <v>213</v>
      </c>
      <c r="E57" s="59" t="s">
        <v>214</v>
      </c>
      <c r="F57" s="59" t="s">
        <v>117</v>
      </c>
      <c r="G57" s="59" t="s">
        <v>215</v>
      </c>
      <c r="H57" s="59">
        <v>2.0</v>
      </c>
      <c r="I57" s="59">
        <v>4.0</v>
      </c>
      <c r="J57" s="59" t="s">
        <v>216</v>
      </c>
    </row>
    <row r="58" ht="21.75" customHeight="1">
      <c r="A58" s="44" t="s">
        <v>217</v>
      </c>
      <c r="B58" s="44" t="s">
        <v>181</v>
      </c>
      <c r="C58" s="44" t="s">
        <v>128</v>
      </c>
      <c r="D58" s="44" t="s">
        <v>128</v>
      </c>
      <c r="E58" s="44" t="s">
        <v>218</v>
      </c>
      <c r="F58" s="44" t="s">
        <v>117</v>
      </c>
      <c r="G58" s="44" t="s">
        <v>219</v>
      </c>
      <c r="H58" s="44">
        <v>4.0</v>
      </c>
      <c r="I58" s="44">
        <v>2.0</v>
      </c>
      <c r="J58" s="44" t="s">
        <v>220</v>
      </c>
    </row>
    <row r="59" ht="21.75" customHeight="1">
      <c r="A59" s="48" t="s">
        <v>221</v>
      </c>
      <c r="B59" s="48" t="s">
        <v>191</v>
      </c>
      <c r="C59" s="48" t="s">
        <v>116</v>
      </c>
      <c r="D59" s="48" t="s">
        <v>116</v>
      </c>
      <c r="E59" s="48" t="s">
        <v>222</v>
      </c>
      <c r="F59" s="48" t="s">
        <v>129</v>
      </c>
      <c r="G59" s="48" t="s">
        <v>223</v>
      </c>
      <c r="H59" s="48">
        <v>3.0</v>
      </c>
      <c r="I59" s="48">
        <v>3.0</v>
      </c>
      <c r="J59" s="48" t="s">
        <v>224</v>
      </c>
    </row>
    <row r="60" ht="21.75" customHeight="1">
      <c r="A60" s="44" t="s">
        <v>225</v>
      </c>
      <c r="B60" s="44" t="s">
        <v>181</v>
      </c>
      <c r="C60" s="44" t="s">
        <v>138</v>
      </c>
      <c r="D60" s="44" t="s">
        <v>138</v>
      </c>
      <c r="E60" s="44" t="s">
        <v>226</v>
      </c>
      <c r="F60" s="44" t="s">
        <v>133</v>
      </c>
      <c r="G60" s="44" t="s">
        <v>227</v>
      </c>
      <c r="H60" s="44">
        <v>5.0</v>
      </c>
      <c r="I60" s="44">
        <v>1.0</v>
      </c>
      <c r="J60" s="44" t="s">
        <v>228</v>
      </c>
    </row>
    <row r="61" ht="21.75" customHeight="1">
      <c r="A61" s="59" t="s">
        <v>229</v>
      </c>
      <c r="B61" s="59" t="s">
        <v>181</v>
      </c>
      <c r="C61" s="59" t="s">
        <v>116</v>
      </c>
      <c r="D61" s="59" t="s">
        <v>213</v>
      </c>
      <c r="E61" s="59" t="s">
        <v>230</v>
      </c>
      <c r="F61" s="59" t="s">
        <v>230</v>
      </c>
      <c r="G61" s="59" t="s">
        <v>67</v>
      </c>
      <c r="H61" s="59">
        <v>1.0</v>
      </c>
      <c r="I61" s="59">
        <v>5.0</v>
      </c>
      <c r="J61" s="59" t="s">
        <v>231</v>
      </c>
    </row>
    <row r="62" ht="7.5" customHeight="1"/>
    <row r="63" ht="21.75" customHeight="1">
      <c r="A63" s="56" t="s">
        <v>232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</row>
    <row r="64" ht="36.0" customHeight="1">
      <c r="A64" s="57" t="s">
        <v>54</v>
      </c>
      <c r="B64" s="57" t="s">
        <v>233</v>
      </c>
      <c r="C64" s="57" t="s">
        <v>234</v>
      </c>
      <c r="D64" s="57" t="s">
        <v>235</v>
      </c>
      <c r="E64" s="57" t="s">
        <v>236</v>
      </c>
      <c r="F64" s="57" t="s">
        <v>237</v>
      </c>
      <c r="G64" s="57" t="s">
        <v>238</v>
      </c>
      <c r="H64" s="57" t="s">
        <v>239</v>
      </c>
      <c r="I64" s="57" t="s">
        <v>240</v>
      </c>
    </row>
    <row r="65" ht="21.75" customHeight="1">
      <c r="A65" s="44">
        <v>1.0</v>
      </c>
      <c r="B65" s="44" t="s">
        <v>160</v>
      </c>
      <c r="C65" s="44" t="s">
        <v>117</v>
      </c>
      <c r="D65" s="44" t="s">
        <v>241</v>
      </c>
      <c r="E65" s="44" t="s">
        <v>242</v>
      </c>
      <c r="F65" s="44" t="s">
        <v>243</v>
      </c>
      <c r="G65" s="44" t="s">
        <v>244</v>
      </c>
      <c r="H65" s="44" t="s">
        <v>245</v>
      </c>
      <c r="I65" s="44" t="s">
        <v>157</v>
      </c>
    </row>
    <row r="66" ht="21.75" customHeight="1">
      <c r="A66" s="58">
        <v>2.0</v>
      </c>
      <c r="B66" s="58" t="s">
        <v>163</v>
      </c>
      <c r="C66" s="58" t="s">
        <v>133</v>
      </c>
      <c r="D66" s="58" t="s">
        <v>246</v>
      </c>
      <c r="E66" s="58" t="s">
        <v>247</v>
      </c>
      <c r="F66" s="58" t="s">
        <v>248</v>
      </c>
      <c r="G66" s="58" t="s">
        <v>249</v>
      </c>
      <c r="H66" s="58" t="s">
        <v>250</v>
      </c>
      <c r="I66" s="58" t="s">
        <v>161</v>
      </c>
    </row>
    <row r="67" ht="21.75" customHeight="1">
      <c r="A67" s="58">
        <v>3.0</v>
      </c>
      <c r="B67" s="58" t="s">
        <v>164</v>
      </c>
      <c r="C67" s="58" t="s">
        <v>117</v>
      </c>
      <c r="D67" s="58" t="s">
        <v>251</v>
      </c>
      <c r="E67" s="58" t="s">
        <v>252</v>
      </c>
      <c r="F67" s="58" t="s">
        <v>248</v>
      </c>
      <c r="G67" s="58" t="s">
        <v>253</v>
      </c>
      <c r="H67" s="58" t="s">
        <v>254</v>
      </c>
      <c r="I67" s="58" t="s">
        <v>157</v>
      </c>
    </row>
    <row r="68" ht="21.75" customHeight="1">
      <c r="A68" s="44">
        <v>4.0</v>
      </c>
      <c r="B68" s="44" t="s">
        <v>255</v>
      </c>
      <c r="C68" s="44" t="s">
        <v>123</v>
      </c>
      <c r="D68" s="44" t="s">
        <v>256</v>
      </c>
      <c r="E68" s="44" t="s">
        <v>257</v>
      </c>
      <c r="F68" s="44" t="s">
        <v>243</v>
      </c>
      <c r="G68" s="44" t="s">
        <v>258</v>
      </c>
      <c r="H68" s="44" t="s">
        <v>259</v>
      </c>
      <c r="I68" s="44" t="s">
        <v>161</v>
      </c>
    </row>
    <row r="69" ht="21.75" customHeight="1">
      <c r="A69" s="48">
        <v>5.0</v>
      </c>
      <c r="B69" s="48" t="s">
        <v>260</v>
      </c>
      <c r="C69" s="48" t="s">
        <v>135</v>
      </c>
      <c r="D69" s="48" t="s">
        <v>261</v>
      </c>
      <c r="E69" s="48" t="s">
        <v>262</v>
      </c>
      <c r="F69" s="48" t="s">
        <v>263</v>
      </c>
      <c r="G69" s="48" t="s">
        <v>264</v>
      </c>
      <c r="H69" s="48" t="s">
        <v>265</v>
      </c>
      <c r="I69" s="48" t="s">
        <v>157</v>
      </c>
    </row>
    <row r="70" ht="7.5" customHeight="1"/>
    <row r="71" ht="21.75" customHeight="1">
      <c r="A71" s="25" t="s">
        <v>266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</row>
    <row r="72" ht="36.0" customHeight="1">
      <c r="A72" s="62" t="s">
        <v>267</v>
      </c>
      <c r="B72" s="62" t="s">
        <v>268</v>
      </c>
      <c r="C72" s="62" t="s">
        <v>269</v>
      </c>
      <c r="D72" s="62" t="s">
        <v>270</v>
      </c>
      <c r="E72" s="62" t="s">
        <v>271</v>
      </c>
      <c r="F72" s="62" t="s">
        <v>272</v>
      </c>
      <c r="G72" s="62" t="s">
        <v>273</v>
      </c>
      <c r="H72" s="62" t="s">
        <v>274</v>
      </c>
      <c r="I72" s="62" t="s">
        <v>275</v>
      </c>
    </row>
    <row r="73" ht="19.5" customHeight="1">
      <c r="A73" s="48" t="s">
        <v>276</v>
      </c>
      <c r="B73" s="48">
        <v>180.0</v>
      </c>
      <c r="C73" s="48" t="s">
        <v>277</v>
      </c>
      <c r="D73" s="55">
        <v>1800.0</v>
      </c>
      <c r="E73" s="55">
        <f t="shared" ref="E73:E75" si="2">D74/50*50/1000</f>
        <v>0.4</v>
      </c>
      <c r="F73" s="48" t="s">
        <v>278</v>
      </c>
      <c r="G73" s="48">
        <v>4.0</v>
      </c>
      <c r="H73" s="48" t="s">
        <v>279</v>
      </c>
      <c r="I73" s="48" t="s">
        <v>156</v>
      </c>
    </row>
    <row r="74" ht="19.5" customHeight="1">
      <c r="A74" s="63" t="s">
        <v>280</v>
      </c>
      <c r="B74" s="63">
        <v>12.0</v>
      </c>
      <c r="C74" s="63" t="s">
        <v>281</v>
      </c>
      <c r="D74" s="64">
        <v>400.0</v>
      </c>
      <c r="E74" s="64">
        <f t="shared" si="2"/>
        <v>2.1</v>
      </c>
      <c r="F74" s="63" t="s">
        <v>282</v>
      </c>
      <c r="G74" s="63">
        <v>5.0</v>
      </c>
      <c r="H74" s="63" t="s">
        <v>283</v>
      </c>
      <c r="I74" s="63" t="s">
        <v>156</v>
      </c>
    </row>
    <row r="75" ht="19.5" customHeight="1">
      <c r="A75" s="48" t="s">
        <v>284</v>
      </c>
      <c r="B75" s="48">
        <v>192.0</v>
      </c>
      <c r="C75" s="48" t="s">
        <v>277</v>
      </c>
      <c r="D75" s="55">
        <v>2100.0</v>
      </c>
      <c r="E75" s="55">
        <f t="shared" si="2"/>
        <v>0</v>
      </c>
      <c r="F75" s="48" t="s">
        <v>285</v>
      </c>
      <c r="G75" s="48">
        <v>3.0</v>
      </c>
      <c r="H75" s="48" t="s">
        <v>286</v>
      </c>
      <c r="I75" s="48" t="s">
        <v>160</v>
      </c>
    </row>
    <row r="76" ht="7.5" customHeight="1"/>
    <row r="77" ht="19.5" customHeight="1">
      <c r="A77" s="38" t="s">
        <v>287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</row>
    <row r="78" ht="18.0" customHeight="1">
      <c r="A78" s="39" t="s">
        <v>288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</row>
    <row r="79" ht="18.0" customHeight="1">
      <c r="A79" s="39" t="s">
        <v>289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</row>
    <row r="80" ht="18.0" customHeight="1">
      <c r="A80" s="39" t="s">
        <v>290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</row>
    <row r="81" ht="18.0" customHeight="1">
      <c r="A81" s="39" t="s">
        <v>291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</row>
    <row r="82" ht="18.0" customHeight="1">
      <c r="A82" s="39" t="s">
        <v>292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</row>
    <row r="83" ht="18.0" customHeight="1">
      <c r="A83" s="39" t="s">
        <v>293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</row>
    <row r="84" ht="18.0" customHeight="1">
      <c r="A84" s="39" t="s">
        <v>294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</row>
    <row r="85" ht="18.0" customHeight="1">
      <c r="A85" s="39" t="s">
        <v>295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</row>
    <row r="86" ht="18.0" customHeight="1">
      <c r="A86" s="39" t="s">
        <v>296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</row>
    <row r="87" ht="18.0" customHeight="1">
      <c r="A87" s="39" t="s">
        <v>297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</row>
    <row r="88" ht="18.0" customHeight="1">
      <c r="A88" s="39" t="s">
        <v>298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L1"/>
    <mergeCell ref="A2:L2"/>
    <mergeCell ref="A4:L4"/>
    <mergeCell ref="A12:L12"/>
    <mergeCell ref="D13:F13"/>
    <mergeCell ref="G13:I13"/>
    <mergeCell ref="J13:L13"/>
    <mergeCell ref="G15:I15"/>
    <mergeCell ref="J15:L15"/>
    <mergeCell ref="A13:C13"/>
    <mergeCell ref="A14:C14"/>
    <mergeCell ref="D14:F14"/>
    <mergeCell ref="G14:I14"/>
    <mergeCell ref="J14:L14"/>
    <mergeCell ref="A15:C15"/>
    <mergeCell ref="D15:F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20:L20"/>
    <mergeCell ref="A21:L21"/>
    <mergeCell ref="A22:L22"/>
    <mergeCell ref="A23:L23"/>
    <mergeCell ref="A24:L24"/>
    <mergeCell ref="A25:L25"/>
    <mergeCell ref="A26:L26"/>
    <mergeCell ref="A28:L28"/>
    <mergeCell ref="A38:L38"/>
    <mergeCell ref="A47:L47"/>
    <mergeCell ref="A55:L55"/>
    <mergeCell ref="A63:L63"/>
    <mergeCell ref="A83:L83"/>
    <mergeCell ref="A84:L84"/>
    <mergeCell ref="A85:L85"/>
    <mergeCell ref="A86:L86"/>
    <mergeCell ref="A87:L87"/>
    <mergeCell ref="A88:L88"/>
    <mergeCell ref="A71:L71"/>
    <mergeCell ref="A77:L77"/>
    <mergeCell ref="A78:L78"/>
    <mergeCell ref="A79:L79"/>
    <mergeCell ref="A80:L80"/>
    <mergeCell ref="A81:L81"/>
    <mergeCell ref="A82:L8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20.0"/>
    <col customWidth="1" min="4" max="5" width="28.0"/>
    <col customWidth="1" min="6" max="6" width="14.0"/>
    <col customWidth="1" min="7" max="7" width="30.0"/>
    <col customWidth="1" min="8" max="8" width="20.0"/>
    <col customWidth="1" min="9" max="26" width="8.71"/>
  </cols>
  <sheetData>
    <row r="1" ht="36.0" customHeight="1">
      <c r="A1" s="1" t="s">
        <v>299</v>
      </c>
      <c r="B1" s="2"/>
      <c r="C1" s="2"/>
      <c r="D1" s="2"/>
      <c r="E1" s="2"/>
      <c r="F1" s="2"/>
      <c r="G1" s="2"/>
      <c r="H1" s="3"/>
    </row>
    <row r="2" ht="21.75" customHeight="1">
      <c r="A2" s="4" t="s">
        <v>300</v>
      </c>
      <c r="B2" s="2"/>
      <c r="C2" s="2"/>
      <c r="D2" s="2"/>
      <c r="E2" s="2"/>
      <c r="F2" s="2"/>
      <c r="G2" s="2"/>
      <c r="H2" s="3"/>
    </row>
    <row r="3" ht="7.5" customHeight="1"/>
    <row r="4" ht="21.75" customHeight="1">
      <c r="A4" s="5" t="s">
        <v>301</v>
      </c>
      <c r="B4" s="2"/>
      <c r="C4" s="2"/>
      <c r="D4" s="2"/>
      <c r="E4" s="2"/>
      <c r="F4" s="2"/>
      <c r="G4" s="2"/>
      <c r="H4" s="3"/>
    </row>
    <row r="5" ht="25.5" customHeight="1">
      <c r="A5" s="65" t="s">
        <v>202</v>
      </c>
      <c r="B5" s="48" t="s">
        <v>302</v>
      </c>
      <c r="C5" s="65" t="s">
        <v>203</v>
      </c>
      <c r="D5" s="48" t="s">
        <v>181</v>
      </c>
      <c r="E5" s="65" t="s">
        <v>303</v>
      </c>
      <c r="F5" s="48" t="s">
        <v>304</v>
      </c>
    </row>
    <row r="6" ht="25.5" customHeight="1">
      <c r="A6" s="65" t="s">
        <v>305</v>
      </c>
      <c r="B6" s="48" t="s">
        <v>306</v>
      </c>
      <c r="C6" s="65" t="s">
        <v>307</v>
      </c>
      <c r="D6" s="48" t="s">
        <v>308</v>
      </c>
      <c r="E6" s="65" t="s">
        <v>309</v>
      </c>
      <c r="F6" s="48" t="s">
        <v>310</v>
      </c>
    </row>
    <row r="7" ht="25.5" customHeight="1">
      <c r="A7" s="65" t="s">
        <v>311</v>
      </c>
      <c r="B7" s="48" t="s">
        <v>312</v>
      </c>
      <c r="C7" s="65" t="s">
        <v>63</v>
      </c>
      <c r="D7" s="48" t="s">
        <v>313</v>
      </c>
      <c r="E7" s="65" t="s">
        <v>59</v>
      </c>
      <c r="F7" s="48" t="s">
        <v>313</v>
      </c>
    </row>
    <row r="8" ht="25.5" customHeight="1">
      <c r="A8" s="65" t="s">
        <v>314</v>
      </c>
      <c r="B8" s="48" t="s">
        <v>315</v>
      </c>
      <c r="C8" s="65" t="s">
        <v>316</v>
      </c>
      <c r="D8" s="48" t="s">
        <v>317</v>
      </c>
      <c r="E8" s="65" t="s">
        <v>318</v>
      </c>
      <c r="F8" s="48" t="s">
        <v>319</v>
      </c>
    </row>
    <row r="9" ht="25.5" customHeight="1">
      <c r="A9" s="65" t="s">
        <v>320</v>
      </c>
      <c r="B9" s="48" t="s">
        <v>321</v>
      </c>
      <c r="C9" s="65" t="s">
        <v>322</v>
      </c>
      <c r="D9" s="48" t="s">
        <v>117</v>
      </c>
      <c r="E9" s="65" t="s">
        <v>323</v>
      </c>
      <c r="F9" s="48" t="s">
        <v>324</v>
      </c>
    </row>
    <row r="10" ht="7.5" customHeight="1"/>
    <row r="11" ht="21.75" customHeight="1">
      <c r="A11" s="40" t="s">
        <v>325</v>
      </c>
      <c r="B11" s="2"/>
      <c r="C11" s="2"/>
      <c r="D11" s="2"/>
      <c r="E11" s="2"/>
      <c r="F11" s="2"/>
      <c r="G11" s="2"/>
      <c r="H11" s="3"/>
    </row>
    <row r="12" ht="36.0" customHeight="1">
      <c r="A12" s="41" t="s">
        <v>143</v>
      </c>
      <c r="B12" s="41" t="s">
        <v>326</v>
      </c>
      <c r="C12" s="41" t="s">
        <v>327</v>
      </c>
      <c r="D12" s="41" t="s">
        <v>328</v>
      </c>
      <c r="E12" s="41" t="s">
        <v>329</v>
      </c>
      <c r="F12" s="41" t="s">
        <v>330</v>
      </c>
      <c r="G12" s="41" t="s">
        <v>331</v>
      </c>
      <c r="H12" s="41" t="s">
        <v>332</v>
      </c>
    </row>
    <row r="13" ht="19.5" customHeight="1">
      <c r="A13" s="44" t="s">
        <v>117</v>
      </c>
      <c r="B13" s="44" t="s">
        <v>333</v>
      </c>
      <c r="C13" s="44">
        <v>200.0</v>
      </c>
      <c r="D13" s="44" t="s">
        <v>334</v>
      </c>
      <c r="E13" s="44" t="s">
        <v>335</v>
      </c>
      <c r="F13" s="44" t="s">
        <v>336</v>
      </c>
      <c r="G13" s="44" t="s">
        <v>337</v>
      </c>
      <c r="H13" s="44" t="s">
        <v>338</v>
      </c>
    </row>
    <row r="14" ht="19.5" customHeight="1">
      <c r="A14" s="46" t="s">
        <v>123</v>
      </c>
      <c r="B14" s="46" t="s">
        <v>339</v>
      </c>
      <c r="C14" s="46">
        <v>100.0</v>
      </c>
      <c r="D14" s="46" t="s">
        <v>340</v>
      </c>
      <c r="E14" s="46" t="s">
        <v>335</v>
      </c>
      <c r="F14" s="46" t="s">
        <v>335</v>
      </c>
      <c r="G14" s="46" t="s">
        <v>341</v>
      </c>
      <c r="H14" s="46" t="s">
        <v>342</v>
      </c>
    </row>
    <row r="15" ht="19.5" customHeight="1">
      <c r="A15" s="48" t="s">
        <v>133</v>
      </c>
      <c r="B15" s="48" t="s">
        <v>343</v>
      </c>
      <c r="C15" s="48">
        <v>50.0</v>
      </c>
      <c r="D15" s="48" t="s">
        <v>344</v>
      </c>
      <c r="E15" s="48" t="s">
        <v>335</v>
      </c>
      <c r="F15" s="48" t="s">
        <v>335</v>
      </c>
      <c r="G15" s="48" t="s">
        <v>345</v>
      </c>
      <c r="H15" s="48" t="s">
        <v>346</v>
      </c>
    </row>
    <row r="16" ht="19.5" customHeight="1">
      <c r="A16" s="59" t="s">
        <v>111</v>
      </c>
      <c r="B16" s="59" t="s">
        <v>347</v>
      </c>
      <c r="C16" s="59">
        <v>0.0</v>
      </c>
      <c r="D16" s="59" t="s">
        <v>348</v>
      </c>
      <c r="E16" s="59" t="s">
        <v>335</v>
      </c>
      <c r="F16" s="59" t="s">
        <v>335</v>
      </c>
      <c r="G16" s="59" t="s">
        <v>349</v>
      </c>
      <c r="H16" s="59" t="s">
        <v>350</v>
      </c>
    </row>
    <row r="17" ht="7.5" customHeight="1"/>
    <row r="18" ht="21.75" customHeight="1">
      <c r="A18" s="50" t="s">
        <v>351</v>
      </c>
      <c r="B18" s="2"/>
      <c r="C18" s="2"/>
      <c r="D18" s="2"/>
      <c r="E18" s="2"/>
      <c r="F18" s="2"/>
      <c r="G18" s="2"/>
      <c r="H18" s="3"/>
    </row>
    <row r="19" ht="36.0" customHeight="1">
      <c r="A19" s="51" t="s">
        <v>143</v>
      </c>
      <c r="B19" s="51" t="s">
        <v>352</v>
      </c>
      <c r="C19" s="51" t="s">
        <v>353</v>
      </c>
      <c r="D19" s="51" t="s">
        <v>354</v>
      </c>
      <c r="E19" s="51" t="s">
        <v>355</v>
      </c>
      <c r="F19" s="51" t="s">
        <v>356</v>
      </c>
      <c r="G19" s="51" t="s">
        <v>58</v>
      </c>
    </row>
    <row r="20" ht="19.5" customHeight="1">
      <c r="A20" s="53" t="s">
        <v>117</v>
      </c>
      <c r="B20" s="53" t="s">
        <v>357</v>
      </c>
      <c r="C20" s="53">
        <v>445.0</v>
      </c>
      <c r="D20" s="53">
        <v>468.0</v>
      </c>
      <c r="E20" s="53">
        <f t="shared" ref="E20:E21" si="1">D20-C20</f>
        <v>23</v>
      </c>
      <c r="F20" s="53" t="s">
        <v>159</v>
      </c>
      <c r="G20" s="53" t="s">
        <v>358</v>
      </c>
    </row>
    <row r="21" ht="19.5" customHeight="1">
      <c r="A21" s="48" t="s">
        <v>123</v>
      </c>
      <c r="B21" s="48" t="s">
        <v>357</v>
      </c>
      <c r="C21" s="48">
        <v>468.0</v>
      </c>
      <c r="D21" s="48">
        <v>492.0</v>
      </c>
      <c r="E21" s="48">
        <f t="shared" si="1"/>
        <v>24</v>
      </c>
      <c r="F21" s="48" t="s">
        <v>160</v>
      </c>
      <c r="G21" s="48" t="s">
        <v>359</v>
      </c>
    </row>
    <row r="22" ht="19.5" customHeight="1">
      <c r="A22" s="59" t="s">
        <v>111</v>
      </c>
      <c r="B22" s="59" t="s">
        <v>357</v>
      </c>
      <c r="C22" s="59" t="s">
        <v>360</v>
      </c>
      <c r="D22" s="59" t="s">
        <v>361</v>
      </c>
      <c r="E22" s="59" t="s">
        <v>67</v>
      </c>
      <c r="F22" s="59" t="s">
        <v>67</v>
      </c>
      <c r="G22" s="59" t="s">
        <v>362</v>
      </c>
    </row>
    <row r="23" ht="7.5" customHeight="1"/>
    <row r="24" ht="21.75" customHeight="1">
      <c r="A24" s="60" t="s">
        <v>363</v>
      </c>
      <c r="B24" s="2"/>
      <c r="C24" s="2"/>
      <c r="D24" s="2"/>
      <c r="E24" s="2"/>
      <c r="F24" s="2"/>
      <c r="G24" s="2"/>
      <c r="H24" s="3"/>
    </row>
    <row r="25" ht="36.0" customHeight="1">
      <c r="A25" s="61" t="s">
        <v>173</v>
      </c>
      <c r="B25" s="61" t="s">
        <v>364</v>
      </c>
      <c r="C25" s="61" t="s">
        <v>365</v>
      </c>
      <c r="D25" s="61" t="s">
        <v>366</v>
      </c>
      <c r="E25" s="61" t="s">
        <v>367</v>
      </c>
      <c r="F25" s="61" t="s">
        <v>368</v>
      </c>
      <c r="G25" s="61" t="s">
        <v>369</v>
      </c>
      <c r="H25" s="61" t="s">
        <v>370</v>
      </c>
    </row>
    <row r="26" ht="21.75" customHeight="1">
      <c r="A26" s="44" t="s">
        <v>371</v>
      </c>
      <c r="B26" s="44" t="s">
        <v>157</v>
      </c>
      <c r="C26" s="44" t="s">
        <v>128</v>
      </c>
      <c r="D26" s="44" t="s">
        <v>372</v>
      </c>
      <c r="E26" s="44" t="s">
        <v>373</v>
      </c>
      <c r="F26" s="44">
        <v>4.0</v>
      </c>
      <c r="G26" s="44" t="s">
        <v>374</v>
      </c>
      <c r="H26" s="44" t="s">
        <v>375</v>
      </c>
    </row>
    <row r="27" ht="21.75" customHeight="1">
      <c r="A27" s="44" t="s">
        <v>376</v>
      </c>
      <c r="B27" s="44" t="s">
        <v>157</v>
      </c>
      <c r="C27" s="44" t="s">
        <v>377</v>
      </c>
      <c r="D27" s="44" t="s">
        <v>378</v>
      </c>
      <c r="E27" s="44" t="s">
        <v>379</v>
      </c>
      <c r="F27" s="44">
        <v>4.0</v>
      </c>
      <c r="G27" s="44" t="s">
        <v>380</v>
      </c>
      <c r="H27" s="44" t="s">
        <v>381</v>
      </c>
    </row>
    <row r="28" ht="21.75" customHeight="1">
      <c r="A28" s="58" t="s">
        <v>164</v>
      </c>
      <c r="B28" s="58" t="s">
        <v>157</v>
      </c>
      <c r="C28" s="58" t="s">
        <v>128</v>
      </c>
      <c r="D28" s="58" t="s">
        <v>382</v>
      </c>
      <c r="E28" s="58" t="s">
        <v>383</v>
      </c>
      <c r="F28" s="58">
        <v>3.0</v>
      </c>
      <c r="G28" s="58" t="s">
        <v>384</v>
      </c>
      <c r="H28" s="58" t="s">
        <v>385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4:H4"/>
    <mergeCell ref="A11:H11"/>
    <mergeCell ref="A18:H18"/>
    <mergeCell ref="A24:H2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4" width="16.0"/>
    <col customWidth="1" min="5" max="5" width="14.0"/>
    <col customWidth="1" min="6" max="8" width="16.0"/>
    <col customWidth="1" min="9" max="11" width="14.0"/>
    <col customWidth="1" min="12" max="12" width="20.0"/>
    <col customWidth="1" min="13" max="13" width="14.0"/>
    <col customWidth="1" min="14" max="26" width="8.71"/>
  </cols>
  <sheetData>
    <row r="1" ht="36.0" customHeight="1">
      <c r="A1" s="66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4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7.5" customHeight="1"/>
    <row r="4" ht="19.5" customHeight="1">
      <c r="A4" s="24" t="s">
        <v>388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>
      <c r="A5" s="67" t="s">
        <v>54</v>
      </c>
      <c r="B5" s="67" t="s">
        <v>55</v>
      </c>
      <c r="C5" s="67" t="s">
        <v>56</v>
      </c>
      <c r="D5" s="67" t="s">
        <v>57</v>
      </c>
    </row>
    <row r="6" ht="18.0" customHeight="1">
      <c r="A6" s="68">
        <v>1.0</v>
      </c>
      <c r="B6" s="69" t="s">
        <v>309</v>
      </c>
      <c r="C6" s="70" t="s">
        <v>389</v>
      </c>
      <c r="D6" s="9" t="s">
        <v>61</v>
      </c>
    </row>
    <row r="7" ht="18.0" customHeight="1">
      <c r="A7" s="68">
        <v>2.0</v>
      </c>
      <c r="B7" s="69" t="s">
        <v>100</v>
      </c>
      <c r="C7" s="70" t="s">
        <v>390</v>
      </c>
      <c r="D7" s="9" t="s">
        <v>61</v>
      </c>
    </row>
    <row r="8" ht="18.0" customHeight="1">
      <c r="A8" s="68">
        <v>3.0</v>
      </c>
      <c r="B8" s="69" t="s">
        <v>391</v>
      </c>
      <c r="C8" s="70" t="s">
        <v>392</v>
      </c>
      <c r="D8" s="9" t="s">
        <v>61</v>
      </c>
    </row>
    <row r="9" ht="18.0" customHeight="1">
      <c r="A9" s="68">
        <v>4.0</v>
      </c>
      <c r="B9" s="69" t="s">
        <v>393</v>
      </c>
      <c r="C9" s="70" t="s">
        <v>394</v>
      </c>
      <c r="D9" s="9" t="s">
        <v>395</v>
      </c>
    </row>
    <row r="10" ht="7.5" customHeight="1"/>
    <row r="11" ht="21.75" customHeight="1">
      <c r="A11" s="50" t="s">
        <v>396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>
      <c r="A12" s="51" t="s">
        <v>397</v>
      </c>
      <c r="B12" s="51" t="s">
        <v>143</v>
      </c>
      <c r="C12" s="51" t="s">
        <v>398</v>
      </c>
      <c r="D12" s="51" t="s">
        <v>399</v>
      </c>
      <c r="E12" s="51" t="s">
        <v>400</v>
      </c>
      <c r="F12" s="51" t="s">
        <v>147</v>
      </c>
      <c r="G12" s="51" t="s">
        <v>148</v>
      </c>
      <c r="H12" s="51" t="s">
        <v>149</v>
      </c>
      <c r="I12" s="51" t="s">
        <v>401</v>
      </c>
      <c r="J12" s="51" t="s">
        <v>402</v>
      </c>
      <c r="K12" s="51" t="s">
        <v>403</v>
      </c>
      <c r="L12" s="51" t="s">
        <v>404</v>
      </c>
      <c r="M12" s="51" t="s">
        <v>405</v>
      </c>
    </row>
    <row r="13" ht="19.5" customHeight="1">
      <c r="A13" s="42" t="s">
        <v>310</v>
      </c>
      <c r="B13" s="42" t="s">
        <v>111</v>
      </c>
      <c r="C13" s="42" t="s">
        <v>357</v>
      </c>
      <c r="D13" s="52">
        <v>420.0</v>
      </c>
      <c r="E13" s="52">
        <v>22.0</v>
      </c>
      <c r="F13" s="52">
        <f t="shared" ref="F13:F18" si="1">D14+E14</f>
        <v>432</v>
      </c>
      <c r="G13" s="52">
        <v>460.0</v>
      </c>
      <c r="H13" s="52">
        <v>480.0</v>
      </c>
      <c r="I13" s="42" t="s">
        <v>406</v>
      </c>
      <c r="J13" s="42" t="s">
        <v>407</v>
      </c>
      <c r="K13" s="42" t="s">
        <v>408</v>
      </c>
      <c r="L13" s="42" t="s">
        <v>409</v>
      </c>
      <c r="M13" s="42" t="s">
        <v>156</v>
      </c>
    </row>
    <row r="14" ht="19.5" customHeight="1">
      <c r="A14" s="53" t="s">
        <v>310</v>
      </c>
      <c r="B14" s="53" t="s">
        <v>117</v>
      </c>
      <c r="C14" s="53" t="s">
        <v>357</v>
      </c>
      <c r="D14" s="54">
        <v>410.0</v>
      </c>
      <c r="E14" s="54">
        <v>22.0</v>
      </c>
      <c r="F14" s="54">
        <f t="shared" si="1"/>
        <v>452</v>
      </c>
      <c r="G14" s="54">
        <v>445.0</v>
      </c>
      <c r="H14" s="54">
        <v>465.0</v>
      </c>
      <c r="I14" s="53" t="s">
        <v>407</v>
      </c>
      <c r="J14" s="53" t="s">
        <v>408</v>
      </c>
      <c r="K14" s="53" t="s">
        <v>410</v>
      </c>
      <c r="L14" s="53" t="s">
        <v>411</v>
      </c>
      <c r="M14" s="53" t="s">
        <v>159</v>
      </c>
    </row>
    <row r="15" ht="19.5" customHeight="1">
      <c r="A15" s="48" t="s">
        <v>310</v>
      </c>
      <c r="B15" s="48" t="s">
        <v>123</v>
      </c>
      <c r="C15" s="48" t="s">
        <v>357</v>
      </c>
      <c r="D15" s="55">
        <v>430.0</v>
      </c>
      <c r="E15" s="55">
        <v>22.0</v>
      </c>
      <c r="F15" s="55">
        <f t="shared" si="1"/>
        <v>467</v>
      </c>
      <c r="G15" s="55">
        <v>468.0</v>
      </c>
      <c r="H15" s="55">
        <v>490.0</v>
      </c>
      <c r="I15" s="48" t="s">
        <v>412</v>
      </c>
      <c r="J15" s="48" t="s">
        <v>406</v>
      </c>
      <c r="K15" s="48" t="s">
        <v>413</v>
      </c>
      <c r="L15" s="48" t="s">
        <v>230</v>
      </c>
      <c r="M15" s="48" t="s">
        <v>160</v>
      </c>
    </row>
    <row r="16" ht="19.5" customHeight="1">
      <c r="A16" s="53" t="s">
        <v>310</v>
      </c>
      <c r="B16" s="53" t="s">
        <v>129</v>
      </c>
      <c r="C16" s="53" t="s">
        <v>414</v>
      </c>
      <c r="D16" s="54">
        <v>445.0</v>
      </c>
      <c r="E16" s="54">
        <v>22.0</v>
      </c>
      <c r="F16" s="54">
        <f t="shared" si="1"/>
        <v>446</v>
      </c>
      <c r="G16" s="54">
        <v>480.0</v>
      </c>
      <c r="H16" s="54">
        <v>505.0</v>
      </c>
      <c r="I16" s="53" t="s">
        <v>415</v>
      </c>
      <c r="J16" s="53" t="s">
        <v>416</v>
      </c>
      <c r="K16" s="53" t="s">
        <v>407</v>
      </c>
      <c r="L16" s="53" t="s">
        <v>417</v>
      </c>
      <c r="M16" s="53" t="s">
        <v>163</v>
      </c>
    </row>
    <row r="17" ht="19.5" customHeight="1">
      <c r="A17" s="42" t="s">
        <v>418</v>
      </c>
      <c r="B17" s="42" t="s">
        <v>111</v>
      </c>
      <c r="C17" s="42" t="s">
        <v>357</v>
      </c>
      <c r="D17" s="52">
        <v>420.0</v>
      </c>
      <c r="E17" s="52">
        <v>26.0</v>
      </c>
      <c r="F17" s="52">
        <f t="shared" si="1"/>
        <v>436</v>
      </c>
      <c r="G17" s="52">
        <v>464.0</v>
      </c>
      <c r="H17" s="52">
        <v>485.0</v>
      </c>
      <c r="I17" s="42" t="s">
        <v>406</v>
      </c>
      <c r="J17" s="42" t="s">
        <v>407</v>
      </c>
      <c r="K17" s="42" t="s">
        <v>408</v>
      </c>
      <c r="L17" s="42" t="s">
        <v>409</v>
      </c>
      <c r="M17" s="42" t="s">
        <v>419</v>
      </c>
    </row>
    <row r="18" ht="19.5" customHeight="1">
      <c r="A18" s="53" t="s">
        <v>418</v>
      </c>
      <c r="B18" s="53" t="s">
        <v>117</v>
      </c>
      <c r="C18" s="53" t="s">
        <v>357</v>
      </c>
      <c r="D18" s="54">
        <v>410.0</v>
      </c>
      <c r="E18" s="54">
        <v>26.0</v>
      </c>
      <c r="F18" s="54">
        <f t="shared" si="1"/>
        <v>0</v>
      </c>
      <c r="G18" s="54">
        <v>448.0</v>
      </c>
      <c r="H18" s="54">
        <v>470.0</v>
      </c>
      <c r="I18" s="53" t="s">
        <v>407</v>
      </c>
      <c r="J18" s="53" t="s">
        <v>408</v>
      </c>
      <c r="K18" s="53" t="s">
        <v>410</v>
      </c>
      <c r="L18" s="53" t="s">
        <v>420</v>
      </c>
      <c r="M18" s="53" t="s">
        <v>421</v>
      </c>
    </row>
    <row r="19" ht="7.5" customHeight="1"/>
    <row r="20" ht="19.5" customHeight="1">
      <c r="A20" s="38" t="s">
        <v>422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8.0" customHeight="1">
      <c r="A21" s="39" t="s">
        <v>423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ht="18.0" customHeight="1">
      <c r="A22" s="39" t="s">
        <v>424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ht="18.0" customHeight="1">
      <c r="A23" s="39" t="s">
        <v>425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ht="18.0" customHeight="1">
      <c r="A24" s="39" t="s">
        <v>426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8.0" customHeight="1">
      <c r="A25" s="39" t="s">
        <v>427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8.0" customHeight="1">
      <c r="A26" s="39" t="s">
        <v>428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M23"/>
    <mergeCell ref="A24:M24"/>
    <mergeCell ref="A25:M25"/>
    <mergeCell ref="A26:M26"/>
    <mergeCell ref="A1:M1"/>
    <mergeCell ref="A2:M2"/>
    <mergeCell ref="A4:M4"/>
    <mergeCell ref="A11:M11"/>
    <mergeCell ref="A20:M20"/>
    <mergeCell ref="A21:M21"/>
    <mergeCell ref="A22:M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16.0"/>
    <col customWidth="1" min="4" max="4" width="22.0"/>
    <col customWidth="1" min="5" max="5" width="40.0"/>
    <col customWidth="1" min="6" max="7" width="14.0"/>
    <col customWidth="1" min="8" max="8" width="10.0"/>
    <col customWidth="1" min="9" max="9" width="16.0"/>
    <col customWidth="1" min="10" max="10" width="35.0"/>
    <col customWidth="1" min="11" max="11" width="14.0"/>
    <col customWidth="1" min="12" max="26" width="8.71"/>
  </cols>
  <sheetData>
    <row r="1" ht="36.0" customHeight="1">
      <c r="A1" s="71" t="s">
        <v>429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4" t="s">
        <v>430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1.75" customHeight="1">
      <c r="A4" s="60" t="s">
        <v>431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36.0" customHeight="1">
      <c r="A5" s="61" t="s">
        <v>143</v>
      </c>
      <c r="B5" s="61" t="s">
        <v>432</v>
      </c>
      <c r="C5" s="61" t="s">
        <v>433</v>
      </c>
      <c r="D5" s="61" t="s">
        <v>434</v>
      </c>
      <c r="E5" s="61" t="s">
        <v>435</v>
      </c>
      <c r="F5" s="61" t="s">
        <v>436</v>
      </c>
      <c r="G5" s="61" t="s">
        <v>437</v>
      </c>
      <c r="H5" s="61" t="s">
        <v>438</v>
      </c>
      <c r="I5" s="61" t="s">
        <v>439</v>
      </c>
      <c r="J5" s="61" t="s">
        <v>440</v>
      </c>
      <c r="K5" s="61" t="s">
        <v>441</v>
      </c>
    </row>
    <row r="6">
      <c r="A6" s="42" t="s">
        <v>111</v>
      </c>
      <c r="B6" s="42" t="s">
        <v>112</v>
      </c>
      <c r="C6" s="42">
        <v>45.0</v>
      </c>
      <c r="D6" s="42">
        <v>18.0</v>
      </c>
      <c r="E6" s="42">
        <v>18500.0</v>
      </c>
      <c r="F6" s="43">
        <f>E7/SUM(E7:E13)</f>
        <v>0.3758389262</v>
      </c>
      <c r="G6" s="42" t="s">
        <v>442</v>
      </c>
      <c r="H6" s="42" t="s">
        <v>119</v>
      </c>
      <c r="I6" s="42">
        <v>5.0</v>
      </c>
      <c r="J6" s="42" t="s">
        <v>443</v>
      </c>
      <c r="K6" s="42" t="s">
        <v>335</v>
      </c>
    </row>
    <row r="7">
      <c r="A7" s="44" t="s">
        <v>117</v>
      </c>
      <c r="B7" s="44" t="s">
        <v>118</v>
      </c>
      <c r="C7" s="44">
        <v>62.0</v>
      </c>
      <c r="D7" s="44">
        <v>38.0</v>
      </c>
      <c r="E7" s="44">
        <v>28000.0</v>
      </c>
      <c r="F7" s="45">
        <f>E8/SUM(E7:E13)</f>
        <v>0.1879194631</v>
      </c>
      <c r="G7" s="44" t="s">
        <v>444</v>
      </c>
      <c r="H7" s="44" t="s">
        <v>445</v>
      </c>
      <c r="I7" s="44">
        <v>8.0</v>
      </c>
      <c r="J7" s="44" t="s">
        <v>446</v>
      </c>
      <c r="K7" s="44" t="s">
        <v>447</v>
      </c>
    </row>
    <row r="8" ht="19.5" customHeight="1">
      <c r="A8" s="46" t="s">
        <v>123</v>
      </c>
      <c r="B8" s="46" t="s">
        <v>124</v>
      </c>
      <c r="C8" s="46">
        <v>38.0</v>
      </c>
      <c r="D8" s="46">
        <v>12.0</v>
      </c>
      <c r="E8" s="46">
        <v>14000.0</v>
      </c>
      <c r="F8" s="47">
        <f>E9/SUM(E7:E13)</f>
        <v>0.1275167785</v>
      </c>
      <c r="G8" s="46" t="s">
        <v>448</v>
      </c>
      <c r="H8" s="46" t="s">
        <v>125</v>
      </c>
      <c r="I8" s="46">
        <v>5.0</v>
      </c>
      <c r="J8" s="46" t="s">
        <v>449</v>
      </c>
      <c r="K8" s="46" t="s">
        <v>335</v>
      </c>
    </row>
    <row r="9" ht="19.5" customHeight="1">
      <c r="A9" s="48" t="s">
        <v>129</v>
      </c>
      <c r="B9" s="48" t="s">
        <v>130</v>
      </c>
      <c r="C9" s="48">
        <v>25.0</v>
      </c>
      <c r="D9" s="48">
        <v>10.0</v>
      </c>
      <c r="E9" s="48">
        <v>9500.0</v>
      </c>
      <c r="F9" s="49">
        <f>E10/SUM(E7:E13)</f>
        <v>0.1476510067</v>
      </c>
      <c r="G9" s="48" t="s">
        <v>348</v>
      </c>
      <c r="H9" s="48" t="s">
        <v>113</v>
      </c>
      <c r="I9" s="48">
        <v>7.0</v>
      </c>
      <c r="J9" s="48" t="s">
        <v>450</v>
      </c>
      <c r="K9" s="48" t="s">
        <v>335</v>
      </c>
    </row>
    <row r="10" ht="19.5" customHeight="1">
      <c r="A10" s="46" t="s">
        <v>133</v>
      </c>
      <c r="B10" s="46" t="s">
        <v>133</v>
      </c>
      <c r="C10" s="46">
        <v>30.0</v>
      </c>
      <c r="D10" s="46">
        <v>8.0</v>
      </c>
      <c r="E10" s="46">
        <v>11000.0</v>
      </c>
      <c r="F10" s="47">
        <f>E11/SUM(E7:E13)</f>
        <v>0.0966442953</v>
      </c>
      <c r="G10" s="46" t="s">
        <v>451</v>
      </c>
      <c r="H10" s="46" t="s">
        <v>119</v>
      </c>
      <c r="I10" s="46">
        <v>4.0</v>
      </c>
      <c r="J10" s="46" t="s">
        <v>452</v>
      </c>
      <c r="K10" s="46" t="s">
        <v>453</v>
      </c>
    </row>
    <row r="11" ht="19.5" customHeight="1">
      <c r="A11" s="48" t="s">
        <v>135</v>
      </c>
      <c r="B11" s="48" t="s">
        <v>136</v>
      </c>
      <c r="C11" s="48">
        <v>20.0</v>
      </c>
      <c r="D11" s="48">
        <v>5.0</v>
      </c>
      <c r="E11" s="48">
        <v>7200.0</v>
      </c>
      <c r="F11" s="49">
        <f>E12/SUM(E7:E13)</f>
        <v>0.0644295302</v>
      </c>
      <c r="G11" s="48" t="s">
        <v>454</v>
      </c>
      <c r="H11" s="48" t="s">
        <v>455</v>
      </c>
      <c r="I11" s="48">
        <v>3.0</v>
      </c>
      <c r="J11" s="48" t="s">
        <v>456</v>
      </c>
      <c r="K11" s="48" t="s">
        <v>335</v>
      </c>
    </row>
    <row r="12" ht="19.5" customHeight="1">
      <c r="A12" s="46" t="s">
        <v>457</v>
      </c>
      <c r="B12" s="46" t="s">
        <v>140</v>
      </c>
      <c r="C12" s="46">
        <v>15.0</v>
      </c>
      <c r="D12" s="46">
        <v>2.0</v>
      </c>
      <c r="E12" s="46">
        <v>4800.0</v>
      </c>
      <c r="F12" s="47">
        <f>E13/SUM(E7:E13)</f>
        <v>0</v>
      </c>
      <c r="G12" s="46" t="s">
        <v>458</v>
      </c>
      <c r="H12" s="46" t="s">
        <v>113</v>
      </c>
      <c r="I12" s="46">
        <v>1.0</v>
      </c>
      <c r="J12" s="46" t="s">
        <v>459</v>
      </c>
      <c r="K12" s="46" t="s">
        <v>335</v>
      </c>
    </row>
    <row r="13" ht="7.5" customHeight="1"/>
    <row r="14" ht="21.75" customHeight="1">
      <c r="A14" s="40" t="s">
        <v>460</v>
      </c>
      <c r="B14" s="2"/>
      <c r="C14" s="2"/>
      <c r="D14" s="2"/>
      <c r="E14" s="2"/>
      <c r="F14" s="2"/>
      <c r="G14" s="2"/>
      <c r="H14" s="2"/>
      <c r="I14" s="2"/>
      <c r="J14" s="2"/>
      <c r="K14" s="3"/>
    </row>
    <row r="15" ht="36.0" customHeight="1">
      <c r="A15" s="41" t="s">
        <v>461</v>
      </c>
      <c r="B15" s="41" t="s">
        <v>462</v>
      </c>
      <c r="C15" s="41" t="s">
        <v>463</v>
      </c>
      <c r="D15" s="41" t="s">
        <v>464</v>
      </c>
      <c r="E15" s="41" t="s">
        <v>465</v>
      </c>
    </row>
    <row r="16">
      <c r="A16" s="46" t="s">
        <v>466</v>
      </c>
      <c r="B16" s="46">
        <v>28.0</v>
      </c>
      <c r="C16" s="47">
        <f>B17/SUM(B17:B23)</f>
        <v>0.2820512821</v>
      </c>
      <c r="D16" s="46" t="s">
        <v>467</v>
      </c>
      <c r="E16" s="46" t="s">
        <v>468</v>
      </c>
    </row>
    <row r="17">
      <c r="A17" s="48" t="s">
        <v>469</v>
      </c>
      <c r="B17" s="48">
        <v>22.0</v>
      </c>
      <c r="C17" s="49">
        <f>B18/SUM(B17:B23)</f>
        <v>0.2307692308</v>
      </c>
      <c r="D17" s="48" t="s">
        <v>470</v>
      </c>
      <c r="E17" s="48" t="s">
        <v>471</v>
      </c>
    </row>
    <row r="18">
      <c r="A18" s="46" t="s">
        <v>472</v>
      </c>
      <c r="B18" s="46">
        <v>18.0</v>
      </c>
      <c r="C18" s="47">
        <f>B19/SUM(B17:B23)</f>
        <v>0.1794871795</v>
      </c>
      <c r="D18" s="46" t="s">
        <v>175</v>
      </c>
      <c r="E18" s="46" t="s">
        <v>473</v>
      </c>
    </row>
    <row r="19" ht="19.5" customHeight="1">
      <c r="A19" s="48" t="s">
        <v>474</v>
      </c>
      <c r="B19" s="48">
        <v>14.0</v>
      </c>
      <c r="C19" s="49">
        <f>B20/SUM(B17:B23)</f>
        <v>0.1282051282</v>
      </c>
      <c r="D19" s="48" t="s">
        <v>181</v>
      </c>
      <c r="E19" s="48" t="s">
        <v>475</v>
      </c>
    </row>
    <row r="20">
      <c r="A20" s="46" t="s">
        <v>476</v>
      </c>
      <c r="B20" s="46">
        <v>10.0</v>
      </c>
      <c r="C20" s="47">
        <f>B21/SUM(B17:B23)</f>
        <v>0.1025641026</v>
      </c>
      <c r="D20" s="46" t="s">
        <v>191</v>
      </c>
      <c r="E20" s="46" t="s">
        <v>477</v>
      </c>
    </row>
    <row r="21">
      <c r="A21" s="48" t="s">
        <v>478</v>
      </c>
      <c r="B21" s="48">
        <v>8.0</v>
      </c>
      <c r="C21" s="49">
        <f>B22/SUM(B17:B23)</f>
        <v>0.07692307692</v>
      </c>
      <c r="D21" s="48" t="s">
        <v>175</v>
      </c>
      <c r="E21" s="48" t="s">
        <v>479</v>
      </c>
    </row>
    <row r="22">
      <c r="A22" s="46" t="s">
        <v>480</v>
      </c>
      <c r="B22" s="46">
        <v>6.0</v>
      </c>
      <c r="C22" s="47">
        <f>B23/SUM(B17:B23)</f>
        <v>0</v>
      </c>
      <c r="D22" s="46" t="s">
        <v>481</v>
      </c>
      <c r="E22" s="46" t="s">
        <v>482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4:K4"/>
    <mergeCell ref="A14:K1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14.0"/>
    <col customWidth="1" min="4" max="4" width="20.0"/>
    <col customWidth="1" min="5" max="5" width="18.0"/>
    <col customWidth="1" min="6" max="6" width="16.0"/>
    <col customWidth="1" min="7" max="8" width="14.0"/>
    <col customWidth="1" min="9" max="9" width="20.0"/>
    <col customWidth="1" min="10" max="10" width="18.0"/>
    <col customWidth="1" min="11" max="13" width="20.0"/>
    <col customWidth="1" min="14" max="14" width="18.0"/>
    <col customWidth="1" min="15" max="15" width="16.0"/>
    <col customWidth="1" min="16" max="26" width="8.71"/>
  </cols>
  <sheetData>
    <row r="1" ht="36.0" customHeight="1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4" t="s">
        <v>484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/>
    <row r="4" ht="21.75" customHeight="1">
      <c r="A4" s="60" t="s">
        <v>485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36.0" customHeight="1">
      <c r="A5" s="61" t="s">
        <v>486</v>
      </c>
      <c r="B5" s="61" t="s">
        <v>487</v>
      </c>
      <c r="C5" s="61" t="s">
        <v>488</v>
      </c>
      <c r="D5" s="61" t="s">
        <v>489</v>
      </c>
      <c r="E5" s="61" t="s">
        <v>490</v>
      </c>
      <c r="F5" s="61" t="s">
        <v>491</v>
      </c>
      <c r="G5" s="61" t="s">
        <v>492</v>
      </c>
      <c r="H5" s="61" t="s">
        <v>493</v>
      </c>
      <c r="I5" s="61" t="s">
        <v>494</v>
      </c>
      <c r="J5" s="61" t="s">
        <v>495</v>
      </c>
      <c r="K5" s="61" t="s">
        <v>496</v>
      </c>
      <c r="L5" s="61" t="s">
        <v>497</v>
      </c>
      <c r="M5" s="61" t="s">
        <v>498</v>
      </c>
      <c r="N5" s="61" t="s">
        <v>499</v>
      </c>
      <c r="O5" s="61" t="s">
        <v>500</v>
      </c>
    </row>
    <row r="6">
      <c r="A6" s="46" t="s">
        <v>501</v>
      </c>
      <c r="B6" s="46" t="s">
        <v>502</v>
      </c>
      <c r="C6" s="46" t="s">
        <v>310</v>
      </c>
      <c r="D6" s="46" t="s">
        <v>503</v>
      </c>
      <c r="E6" s="46">
        <v>450.0</v>
      </c>
      <c r="F6" s="46" t="s">
        <v>504</v>
      </c>
      <c r="G6" s="46" t="s">
        <v>505</v>
      </c>
      <c r="H6" s="46" t="s">
        <v>506</v>
      </c>
      <c r="I6" s="46" t="s">
        <v>117</v>
      </c>
      <c r="J6" s="46">
        <v>37.5</v>
      </c>
      <c r="K6" s="46" t="s">
        <v>507</v>
      </c>
      <c r="L6" s="46" t="s">
        <v>508</v>
      </c>
      <c r="M6" s="46" t="s">
        <v>509</v>
      </c>
      <c r="N6" s="72">
        <f>J7*50*480*12</f>
        <v>57600000</v>
      </c>
      <c r="O6" s="46" t="s">
        <v>161</v>
      </c>
    </row>
    <row r="7">
      <c r="A7" s="48" t="s">
        <v>510</v>
      </c>
      <c r="B7" s="48" t="s">
        <v>511</v>
      </c>
      <c r="C7" s="48" t="s">
        <v>310</v>
      </c>
      <c r="D7" s="48" t="s">
        <v>512</v>
      </c>
      <c r="E7" s="48">
        <v>1200.0</v>
      </c>
      <c r="F7" s="48" t="s">
        <v>504</v>
      </c>
      <c r="G7" s="48" t="s">
        <v>513</v>
      </c>
      <c r="H7" s="48" t="s">
        <v>514</v>
      </c>
      <c r="I7" s="48" t="s">
        <v>129</v>
      </c>
      <c r="J7" s="48">
        <v>200.0</v>
      </c>
      <c r="K7" s="48" t="s">
        <v>515</v>
      </c>
      <c r="L7" s="48" t="s">
        <v>516</v>
      </c>
      <c r="M7" s="48" t="s">
        <v>517</v>
      </c>
      <c r="N7" s="55">
        <f>J8*50*480*6</f>
        <v>8208000</v>
      </c>
      <c r="O7" s="48" t="s">
        <v>157</v>
      </c>
    </row>
    <row r="8">
      <c r="A8" s="59" t="s">
        <v>518</v>
      </c>
      <c r="B8" s="59" t="s">
        <v>519</v>
      </c>
      <c r="C8" s="59" t="s">
        <v>418</v>
      </c>
      <c r="D8" s="59" t="s">
        <v>520</v>
      </c>
      <c r="E8" s="59">
        <v>800.0</v>
      </c>
      <c r="F8" s="59" t="s">
        <v>504</v>
      </c>
      <c r="G8" s="59" t="s">
        <v>521</v>
      </c>
      <c r="H8" s="59" t="s">
        <v>522</v>
      </c>
      <c r="I8" s="59" t="s">
        <v>111</v>
      </c>
      <c r="J8" s="59">
        <v>57.0</v>
      </c>
      <c r="K8" s="59" t="s">
        <v>523</v>
      </c>
      <c r="L8" s="59" t="s">
        <v>524</v>
      </c>
      <c r="M8" s="59" t="s">
        <v>525</v>
      </c>
      <c r="N8" s="73">
        <f>J9*50*480*13</f>
        <v>0</v>
      </c>
      <c r="O8" s="59" t="s">
        <v>157</v>
      </c>
    </row>
    <row r="9">
      <c r="A9" s="48" t="s">
        <v>526</v>
      </c>
      <c r="B9" s="48" t="s">
        <v>527</v>
      </c>
      <c r="C9" s="48" t="s">
        <v>528</v>
      </c>
      <c r="D9" s="48" t="s">
        <v>529</v>
      </c>
      <c r="E9" s="48">
        <v>300.0</v>
      </c>
      <c r="F9" s="48" t="s">
        <v>530</v>
      </c>
      <c r="G9" s="48" t="s">
        <v>531</v>
      </c>
      <c r="H9" s="48" t="s">
        <v>505</v>
      </c>
      <c r="I9" s="48" t="s">
        <v>123</v>
      </c>
      <c r="J9" s="48">
        <v>0.0</v>
      </c>
      <c r="K9" s="48" t="s">
        <v>532</v>
      </c>
      <c r="L9" s="48" t="s">
        <v>533</v>
      </c>
      <c r="M9" s="48" t="s">
        <v>534</v>
      </c>
      <c r="N9" s="48" t="s">
        <v>535</v>
      </c>
      <c r="O9" s="48" t="s">
        <v>161</v>
      </c>
    </row>
    <row r="10">
      <c r="A10" s="9" t="s">
        <v>536</v>
      </c>
      <c r="B10" s="9" t="s">
        <v>537</v>
      </c>
      <c r="C10" s="9" t="s">
        <v>538</v>
      </c>
      <c r="D10" s="9" t="s">
        <v>503</v>
      </c>
      <c r="E10" s="9">
        <v>600.0</v>
      </c>
      <c r="F10" s="9" t="s">
        <v>539</v>
      </c>
      <c r="G10" s="9" t="s">
        <v>540</v>
      </c>
      <c r="H10" s="9" t="s">
        <v>541</v>
      </c>
      <c r="I10" s="9" t="s">
        <v>542</v>
      </c>
      <c r="J10" s="9">
        <v>46.0</v>
      </c>
      <c r="K10" s="9" t="s">
        <v>543</v>
      </c>
      <c r="L10" s="9" t="s">
        <v>544</v>
      </c>
      <c r="M10" s="9" t="s">
        <v>545</v>
      </c>
      <c r="N10" s="74">
        <f>J11*50*480*18</f>
        <v>0</v>
      </c>
      <c r="O10" s="9" t="s">
        <v>157</v>
      </c>
    </row>
    <row r="11" ht="7.5" customHeight="1"/>
    <row r="12" ht="19.5" customHeight="1">
      <c r="A12" s="38" t="s">
        <v>546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ht="18.0" customHeight="1">
      <c r="A13" s="39" t="s">
        <v>547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18.0" customHeight="1">
      <c r="A14" s="39" t="s">
        <v>548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8.0" customHeight="1">
      <c r="A15" s="39" t="s">
        <v>549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18.0" customHeight="1">
      <c r="A16" s="39" t="s">
        <v>550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18.0" customHeight="1">
      <c r="A17" s="39" t="s">
        <v>551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ht="18.0" customHeight="1">
      <c r="A18" s="39" t="s">
        <v>552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18.0" customHeight="1">
      <c r="A19" s="39" t="s">
        <v>553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6:N16"/>
    <mergeCell ref="A17:N17"/>
    <mergeCell ref="A18:N18"/>
    <mergeCell ref="A19:N19"/>
    <mergeCell ref="A1:N1"/>
    <mergeCell ref="A2:N2"/>
    <mergeCell ref="A4:N4"/>
    <mergeCell ref="A12:N12"/>
    <mergeCell ref="A13:N13"/>
    <mergeCell ref="A14:N14"/>
    <mergeCell ref="A15:N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8.0"/>
    <col customWidth="1" min="3" max="3" width="55.0"/>
    <col customWidth="1" min="4" max="26" width="8.71"/>
  </cols>
  <sheetData>
    <row r="1" ht="30.0" customHeight="1">
      <c r="A1" s="75" t="s">
        <v>554</v>
      </c>
      <c r="B1" s="2"/>
      <c r="C1" s="2"/>
      <c r="D1" s="2"/>
      <c r="E1" s="3"/>
    </row>
    <row r="2" ht="19.5" customHeight="1">
      <c r="A2" s="4" t="s">
        <v>555</v>
      </c>
      <c r="B2" s="2"/>
      <c r="C2" s="2"/>
      <c r="D2" s="2"/>
      <c r="E2" s="3"/>
    </row>
    <row r="3" ht="7.5" customHeight="1"/>
    <row r="4" ht="21.75" customHeight="1">
      <c r="A4" s="76" t="s">
        <v>556</v>
      </c>
      <c r="B4" s="27"/>
      <c r="C4" s="27"/>
      <c r="D4" s="27"/>
      <c r="E4" s="28"/>
    </row>
    <row r="5" ht="19.5" customHeight="1">
      <c r="A5" s="77" t="s">
        <v>557</v>
      </c>
      <c r="B5" s="77" t="s">
        <v>558</v>
      </c>
      <c r="C5" s="77" t="s">
        <v>559</v>
      </c>
    </row>
    <row r="6" ht="18.0" customHeight="1">
      <c r="A6" s="78" t="s">
        <v>560</v>
      </c>
      <c r="B6" s="79" t="s">
        <v>561</v>
      </c>
      <c r="C6" s="48" t="s">
        <v>562</v>
      </c>
    </row>
    <row r="7" ht="18.0" customHeight="1">
      <c r="A7" s="80" t="s">
        <v>563</v>
      </c>
      <c r="B7" s="81" t="s">
        <v>564</v>
      </c>
      <c r="C7" s="46" t="s">
        <v>565</v>
      </c>
    </row>
    <row r="8" ht="18.0" customHeight="1">
      <c r="A8" s="78" t="s">
        <v>566</v>
      </c>
      <c r="B8" s="79" t="s">
        <v>564</v>
      </c>
      <c r="C8" s="48" t="s">
        <v>567</v>
      </c>
    </row>
    <row r="9" ht="18.0" customHeight="1">
      <c r="A9" s="80" t="s">
        <v>568</v>
      </c>
      <c r="B9" s="81" t="s">
        <v>569</v>
      </c>
      <c r="C9" s="46" t="s">
        <v>570</v>
      </c>
    </row>
    <row r="10" ht="18.0" customHeight="1">
      <c r="A10" s="78" t="s">
        <v>571</v>
      </c>
      <c r="B10" s="79" t="s">
        <v>572</v>
      </c>
      <c r="C10" s="48" t="s">
        <v>573</v>
      </c>
    </row>
    <row r="11" ht="18.0" customHeight="1">
      <c r="A11" s="80" t="s">
        <v>574</v>
      </c>
      <c r="B11" s="81" t="s">
        <v>572</v>
      </c>
      <c r="C11" s="46" t="s">
        <v>575</v>
      </c>
    </row>
    <row r="12" ht="18.0" customHeight="1">
      <c r="A12" s="78" t="s">
        <v>576</v>
      </c>
      <c r="B12" s="79" t="s">
        <v>577</v>
      </c>
      <c r="C12" s="48" t="s">
        <v>578</v>
      </c>
    </row>
    <row r="13" ht="18.0" customHeight="1">
      <c r="A13" s="80" t="s">
        <v>579</v>
      </c>
      <c r="B13" s="81" t="s">
        <v>577</v>
      </c>
      <c r="C13" s="46" t="s">
        <v>580</v>
      </c>
    </row>
    <row r="14" ht="18.0" customHeight="1">
      <c r="A14" s="78" t="s">
        <v>581</v>
      </c>
      <c r="B14" s="79" t="s">
        <v>577</v>
      </c>
      <c r="C14" s="48" t="s">
        <v>582</v>
      </c>
    </row>
    <row r="15" ht="18.0" customHeight="1">
      <c r="A15" s="80" t="s">
        <v>583</v>
      </c>
      <c r="B15" s="81" t="s">
        <v>584</v>
      </c>
      <c r="C15" s="46" t="s">
        <v>585</v>
      </c>
    </row>
    <row r="16" ht="18.0" customHeight="1">
      <c r="A16" s="78" t="s">
        <v>586</v>
      </c>
      <c r="B16" s="79" t="s">
        <v>587</v>
      </c>
      <c r="C16" s="48" t="s">
        <v>588</v>
      </c>
    </row>
    <row r="17" ht="18.0" customHeight="1">
      <c r="A17" s="80" t="s">
        <v>589</v>
      </c>
      <c r="B17" s="81" t="s">
        <v>584</v>
      </c>
      <c r="C17" s="46" t="s">
        <v>590</v>
      </c>
    </row>
    <row r="18" ht="18.0" customHeight="1">
      <c r="A18" s="78" t="s">
        <v>591</v>
      </c>
      <c r="B18" s="79" t="s">
        <v>584</v>
      </c>
      <c r="C18" s="48" t="s">
        <v>592</v>
      </c>
    </row>
    <row r="19" ht="18.0" customHeight="1">
      <c r="A19" s="80" t="s">
        <v>593</v>
      </c>
      <c r="B19" s="81" t="s">
        <v>594</v>
      </c>
      <c r="C19" s="46" t="s">
        <v>595</v>
      </c>
    </row>
    <row r="20" ht="7.5" customHeight="1"/>
    <row r="21" ht="21.75" customHeight="1">
      <c r="A21" s="76" t="s">
        <v>596</v>
      </c>
      <c r="B21" s="27"/>
      <c r="C21" s="27"/>
      <c r="D21" s="27"/>
      <c r="E21" s="28"/>
    </row>
    <row r="22" ht="19.5" customHeight="1">
      <c r="A22" s="77" t="s">
        <v>557</v>
      </c>
      <c r="B22" s="77" t="s">
        <v>558</v>
      </c>
      <c r="C22" s="77" t="s">
        <v>559</v>
      </c>
    </row>
    <row r="23" ht="18.0" customHeight="1">
      <c r="A23" s="80" t="s">
        <v>597</v>
      </c>
      <c r="B23" s="81" t="s">
        <v>561</v>
      </c>
      <c r="C23" s="46"/>
    </row>
    <row r="24" ht="18.0" customHeight="1">
      <c r="A24" s="78" t="s">
        <v>563</v>
      </c>
      <c r="B24" s="79" t="s">
        <v>564</v>
      </c>
      <c r="C24" s="48"/>
    </row>
    <row r="25" ht="18.0" customHeight="1">
      <c r="A25" s="80" t="s">
        <v>598</v>
      </c>
      <c r="B25" s="81" t="s">
        <v>564</v>
      </c>
      <c r="C25" s="46" t="s">
        <v>599</v>
      </c>
    </row>
    <row r="26" ht="18.0" customHeight="1">
      <c r="A26" s="78" t="s">
        <v>600</v>
      </c>
      <c r="B26" s="79" t="s">
        <v>601</v>
      </c>
      <c r="C26" s="48" t="s">
        <v>602</v>
      </c>
    </row>
    <row r="27" ht="18.0" customHeight="1">
      <c r="A27" s="80" t="s">
        <v>603</v>
      </c>
      <c r="B27" s="81" t="s">
        <v>601</v>
      </c>
      <c r="C27" s="46" t="s">
        <v>604</v>
      </c>
    </row>
    <row r="28" ht="18.0" customHeight="1">
      <c r="A28" s="78" t="s">
        <v>605</v>
      </c>
      <c r="B28" s="79" t="s">
        <v>572</v>
      </c>
      <c r="C28" s="48" t="s">
        <v>606</v>
      </c>
    </row>
    <row r="29" ht="18.0" customHeight="1">
      <c r="A29" s="80" t="s">
        <v>607</v>
      </c>
      <c r="B29" s="81" t="s">
        <v>601</v>
      </c>
      <c r="C29" s="46" t="s">
        <v>608</v>
      </c>
    </row>
    <row r="30" ht="18.0" customHeight="1">
      <c r="A30" s="78" t="s">
        <v>609</v>
      </c>
      <c r="B30" s="79" t="s">
        <v>601</v>
      </c>
      <c r="C30" s="48" t="s">
        <v>610</v>
      </c>
    </row>
    <row r="31" ht="18.0" customHeight="1">
      <c r="A31" s="80" t="s">
        <v>611</v>
      </c>
      <c r="B31" s="81" t="s">
        <v>572</v>
      </c>
      <c r="C31" s="46" t="s">
        <v>612</v>
      </c>
    </row>
    <row r="32" ht="18.0" customHeight="1">
      <c r="A32" s="78" t="s">
        <v>613</v>
      </c>
      <c r="B32" s="79" t="s">
        <v>569</v>
      </c>
      <c r="C32" s="48" t="s">
        <v>614</v>
      </c>
    </row>
    <row r="33" ht="7.5" customHeight="1"/>
    <row r="34" ht="21.75" customHeight="1">
      <c r="A34" s="76" t="s">
        <v>615</v>
      </c>
      <c r="B34" s="27"/>
      <c r="C34" s="27"/>
      <c r="D34" s="27"/>
      <c r="E34" s="28"/>
    </row>
    <row r="35" ht="19.5" customHeight="1">
      <c r="A35" s="77" t="s">
        <v>557</v>
      </c>
      <c r="B35" s="77" t="s">
        <v>558</v>
      </c>
      <c r="C35" s="77" t="s">
        <v>559</v>
      </c>
    </row>
    <row r="36" ht="18.0" customHeight="1">
      <c r="A36" s="78" t="s">
        <v>616</v>
      </c>
      <c r="B36" s="79" t="s">
        <v>561</v>
      </c>
      <c r="C36" s="48"/>
    </row>
    <row r="37" ht="18.0" customHeight="1">
      <c r="A37" s="80" t="s">
        <v>617</v>
      </c>
      <c r="B37" s="81" t="s">
        <v>564</v>
      </c>
      <c r="C37" s="46"/>
    </row>
    <row r="38" ht="18.0" customHeight="1">
      <c r="A38" s="78" t="s">
        <v>598</v>
      </c>
      <c r="B38" s="79" t="s">
        <v>564</v>
      </c>
      <c r="C38" s="48"/>
    </row>
    <row r="39" ht="18.0" customHeight="1">
      <c r="A39" s="80" t="s">
        <v>618</v>
      </c>
      <c r="B39" s="81" t="s">
        <v>619</v>
      </c>
      <c r="C39" s="46" t="s">
        <v>620</v>
      </c>
    </row>
    <row r="40" ht="18.0" customHeight="1">
      <c r="A40" s="78" t="s">
        <v>621</v>
      </c>
      <c r="B40" s="79" t="s">
        <v>622</v>
      </c>
      <c r="C40" s="48" t="s">
        <v>623</v>
      </c>
    </row>
    <row r="41" ht="18.0" customHeight="1">
      <c r="A41" s="80" t="s">
        <v>624</v>
      </c>
      <c r="B41" s="81" t="s">
        <v>622</v>
      </c>
      <c r="C41" s="46" t="s">
        <v>625</v>
      </c>
    </row>
    <row r="42" ht="18.0" customHeight="1">
      <c r="A42" s="78" t="s">
        <v>626</v>
      </c>
      <c r="B42" s="79" t="s">
        <v>622</v>
      </c>
      <c r="C42" s="48" t="s">
        <v>627</v>
      </c>
    </row>
    <row r="43" ht="18.0" customHeight="1">
      <c r="A43" s="80" t="s">
        <v>628</v>
      </c>
      <c r="B43" s="81" t="s">
        <v>622</v>
      </c>
      <c r="C43" s="46" t="s">
        <v>629</v>
      </c>
    </row>
    <row r="44" ht="18.0" customHeight="1">
      <c r="A44" s="78" t="s">
        <v>630</v>
      </c>
      <c r="B44" s="79" t="s">
        <v>622</v>
      </c>
      <c r="C44" s="48" t="s">
        <v>631</v>
      </c>
    </row>
    <row r="45" ht="18.0" customHeight="1">
      <c r="A45" s="80" t="s">
        <v>632</v>
      </c>
      <c r="B45" s="81" t="s">
        <v>622</v>
      </c>
      <c r="C45" s="46" t="s">
        <v>633</v>
      </c>
    </row>
    <row r="46" ht="18.0" customHeight="1">
      <c r="A46" s="78" t="s">
        <v>634</v>
      </c>
      <c r="B46" s="79" t="s">
        <v>622</v>
      </c>
      <c r="C46" s="48" t="s">
        <v>635</v>
      </c>
    </row>
    <row r="47" ht="18.0" customHeight="1">
      <c r="A47" s="80" t="s">
        <v>636</v>
      </c>
      <c r="B47" s="81" t="s">
        <v>584</v>
      </c>
      <c r="C47" s="46" t="s">
        <v>637</v>
      </c>
    </row>
    <row r="48" ht="18.0" customHeight="1">
      <c r="A48" s="78" t="s">
        <v>638</v>
      </c>
      <c r="B48" s="79" t="s">
        <v>564</v>
      </c>
      <c r="C48" s="48" t="s">
        <v>566</v>
      </c>
    </row>
    <row r="49" ht="18.0" customHeight="1">
      <c r="A49" s="80" t="s">
        <v>639</v>
      </c>
      <c r="B49" s="81" t="s">
        <v>569</v>
      </c>
      <c r="C49" s="46"/>
    </row>
    <row r="50" ht="7.5" customHeight="1"/>
    <row r="51" ht="21.75" customHeight="1">
      <c r="A51" s="76" t="s">
        <v>640</v>
      </c>
      <c r="B51" s="27"/>
      <c r="C51" s="27"/>
      <c r="D51" s="27"/>
      <c r="E51" s="28"/>
    </row>
    <row r="52" ht="19.5" customHeight="1">
      <c r="A52" s="77" t="s">
        <v>557</v>
      </c>
      <c r="B52" s="77" t="s">
        <v>558</v>
      </c>
      <c r="C52" s="77" t="s">
        <v>559</v>
      </c>
    </row>
    <row r="53" ht="18.0" customHeight="1">
      <c r="A53" s="80" t="s">
        <v>641</v>
      </c>
      <c r="B53" s="81" t="s">
        <v>561</v>
      </c>
      <c r="C53" s="46"/>
    </row>
    <row r="54" ht="18.0" customHeight="1">
      <c r="A54" s="78" t="s">
        <v>617</v>
      </c>
      <c r="B54" s="79" t="s">
        <v>564</v>
      </c>
      <c r="C54" s="48"/>
    </row>
    <row r="55" ht="18.0" customHeight="1">
      <c r="A55" s="80" t="s">
        <v>598</v>
      </c>
      <c r="B55" s="81" t="s">
        <v>564</v>
      </c>
      <c r="C55" s="46" t="s">
        <v>642</v>
      </c>
    </row>
    <row r="56" ht="18.0" customHeight="1">
      <c r="A56" s="78" t="s">
        <v>643</v>
      </c>
      <c r="B56" s="79" t="s">
        <v>619</v>
      </c>
      <c r="C56" s="48" t="s">
        <v>644</v>
      </c>
    </row>
    <row r="57" ht="18.0" customHeight="1">
      <c r="A57" s="80" t="s">
        <v>645</v>
      </c>
      <c r="B57" s="81" t="s">
        <v>584</v>
      </c>
      <c r="C57" s="46" t="s">
        <v>646</v>
      </c>
    </row>
    <row r="58" ht="18.0" customHeight="1">
      <c r="A58" s="78" t="s">
        <v>647</v>
      </c>
      <c r="B58" s="79" t="s">
        <v>619</v>
      </c>
      <c r="C58" s="48" t="s">
        <v>648</v>
      </c>
    </row>
    <row r="59" ht="18.0" customHeight="1">
      <c r="A59" s="80" t="s">
        <v>649</v>
      </c>
      <c r="B59" s="81" t="s">
        <v>584</v>
      </c>
      <c r="C59" s="46" t="s">
        <v>650</v>
      </c>
    </row>
    <row r="60" ht="18.0" customHeight="1">
      <c r="A60" s="78" t="s">
        <v>651</v>
      </c>
      <c r="B60" s="79" t="s">
        <v>584</v>
      </c>
      <c r="C60" s="48" t="s">
        <v>652</v>
      </c>
    </row>
    <row r="61" ht="18.0" customHeight="1">
      <c r="A61" s="80" t="s">
        <v>653</v>
      </c>
      <c r="B61" s="81" t="s">
        <v>569</v>
      </c>
      <c r="C61" s="46"/>
    </row>
    <row r="62" ht="18.0" customHeight="1">
      <c r="A62" s="78" t="s">
        <v>654</v>
      </c>
      <c r="B62" s="79" t="s">
        <v>564</v>
      </c>
      <c r="C62" s="48" t="s">
        <v>566</v>
      </c>
    </row>
    <row r="63" ht="7.5" customHeight="1"/>
    <row r="64" ht="21.75" customHeight="1">
      <c r="A64" s="76" t="s">
        <v>655</v>
      </c>
      <c r="B64" s="27"/>
      <c r="C64" s="27"/>
      <c r="D64" s="27"/>
      <c r="E64" s="28"/>
    </row>
    <row r="65" ht="19.5" customHeight="1">
      <c r="A65" s="77" t="s">
        <v>557</v>
      </c>
      <c r="B65" s="77" t="s">
        <v>558</v>
      </c>
      <c r="C65" s="77" t="s">
        <v>559</v>
      </c>
    </row>
    <row r="66" ht="18.0" customHeight="1">
      <c r="A66" s="78" t="s">
        <v>656</v>
      </c>
      <c r="B66" s="79" t="s">
        <v>561</v>
      </c>
      <c r="C66" s="48"/>
    </row>
    <row r="67" ht="18.0" customHeight="1">
      <c r="A67" s="80" t="s">
        <v>598</v>
      </c>
      <c r="B67" s="81" t="s">
        <v>564</v>
      </c>
      <c r="C67" s="46"/>
    </row>
    <row r="68" ht="18.0" customHeight="1">
      <c r="A68" s="78" t="s">
        <v>617</v>
      </c>
      <c r="B68" s="79" t="s">
        <v>564</v>
      </c>
      <c r="C68" s="48" t="s">
        <v>657</v>
      </c>
    </row>
    <row r="69" ht="18.0" customHeight="1">
      <c r="A69" s="80" t="s">
        <v>658</v>
      </c>
      <c r="B69" s="81" t="s">
        <v>619</v>
      </c>
      <c r="C69" s="46" t="s">
        <v>659</v>
      </c>
    </row>
    <row r="70" ht="18.0" customHeight="1">
      <c r="A70" s="78" t="s">
        <v>660</v>
      </c>
      <c r="B70" s="79" t="s">
        <v>619</v>
      </c>
      <c r="C70" s="48" t="s">
        <v>661</v>
      </c>
    </row>
    <row r="71" ht="18.0" customHeight="1">
      <c r="A71" s="80" t="s">
        <v>662</v>
      </c>
      <c r="B71" s="81" t="s">
        <v>584</v>
      </c>
      <c r="C71" s="46" t="s">
        <v>663</v>
      </c>
    </row>
    <row r="72" ht="18.0" customHeight="1">
      <c r="A72" s="78" t="s">
        <v>664</v>
      </c>
      <c r="B72" s="79" t="s">
        <v>584</v>
      </c>
      <c r="C72" s="48" t="s">
        <v>665</v>
      </c>
    </row>
    <row r="73" ht="18.0" customHeight="1">
      <c r="A73" s="80" t="s">
        <v>666</v>
      </c>
      <c r="B73" s="81" t="s">
        <v>569</v>
      </c>
      <c r="C73" s="46"/>
    </row>
    <row r="74" ht="18.0" customHeight="1">
      <c r="A74" s="78" t="s">
        <v>667</v>
      </c>
      <c r="B74" s="79" t="s">
        <v>569</v>
      </c>
      <c r="C74" s="48" t="s">
        <v>668</v>
      </c>
    </row>
    <row r="75" ht="18.0" customHeight="1">
      <c r="A75" s="80" t="s">
        <v>669</v>
      </c>
      <c r="B75" s="81" t="s">
        <v>584</v>
      </c>
      <c r="C75" s="46" t="s">
        <v>670</v>
      </c>
    </row>
    <row r="76" ht="18.0" customHeight="1">
      <c r="A76" s="78" t="s">
        <v>638</v>
      </c>
      <c r="B76" s="79" t="s">
        <v>564</v>
      </c>
      <c r="C76" s="48" t="s">
        <v>566</v>
      </c>
    </row>
    <row r="77" ht="18.0" customHeight="1">
      <c r="A77" s="80" t="s">
        <v>639</v>
      </c>
      <c r="B77" s="81" t="s">
        <v>569</v>
      </c>
      <c r="C77" s="46"/>
    </row>
    <row r="78" ht="7.5" customHeight="1"/>
    <row r="79" ht="21.75" customHeight="1">
      <c r="A79" s="76" t="s">
        <v>671</v>
      </c>
      <c r="B79" s="27"/>
      <c r="C79" s="27"/>
      <c r="D79" s="27"/>
      <c r="E79" s="28"/>
    </row>
    <row r="80" ht="19.5" customHeight="1">
      <c r="A80" s="77" t="s">
        <v>557</v>
      </c>
      <c r="B80" s="77" t="s">
        <v>558</v>
      </c>
      <c r="C80" s="77" t="s">
        <v>559</v>
      </c>
    </row>
    <row r="81" ht="18.0" customHeight="1">
      <c r="A81" s="80" t="s">
        <v>672</v>
      </c>
      <c r="B81" s="81" t="s">
        <v>561</v>
      </c>
      <c r="C81" s="46"/>
    </row>
    <row r="82" ht="18.0" customHeight="1">
      <c r="A82" s="78" t="s">
        <v>673</v>
      </c>
      <c r="B82" s="79" t="s">
        <v>587</v>
      </c>
      <c r="C82" s="48" t="s">
        <v>674</v>
      </c>
    </row>
    <row r="83" ht="18.0" customHeight="1">
      <c r="A83" s="80" t="s">
        <v>617</v>
      </c>
      <c r="B83" s="81" t="s">
        <v>564</v>
      </c>
      <c r="C83" s="46" t="s">
        <v>675</v>
      </c>
    </row>
    <row r="84" ht="18.0" customHeight="1">
      <c r="A84" s="78" t="s">
        <v>676</v>
      </c>
      <c r="B84" s="79" t="s">
        <v>677</v>
      </c>
      <c r="C84" s="48"/>
    </row>
    <row r="85" ht="18.0" customHeight="1">
      <c r="A85" s="80" t="s">
        <v>678</v>
      </c>
      <c r="B85" s="81" t="s">
        <v>619</v>
      </c>
      <c r="C85" s="46" t="s">
        <v>679</v>
      </c>
    </row>
    <row r="86" ht="18.0" customHeight="1">
      <c r="A86" s="78" t="s">
        <v>680</v>
      </c>
      <c r="B86" s="79" t="s">
        <v>622</v>
      </c>
      <c r="C86" s="48" t="s">
        <v>681</v>
      </c>
    </row>
    <row r="87" ht="18.0" customHeight="1">
      <c r="A87" s="80" t="s">
        <v>682</v>
      </c>
      <c r="B87" s="81" t="s">
        <v>622</v>
      </c>
      <c r="C87" s="46" t="s">
        <v>683</v>
      </c>
    </row>
    <row r="88" ht="18.0" customHeight="1">
      <c r="A88" s="78" t="s">
        <v>684</v>
      </c>
      <c r="B88" s="79" t="s">
        <v>572</v>
      </c>
      <c r="C88" s="48"/>
    </row>
    <row r="89" ht="18.0" customHeight="1">
      <c r="A89" s="80" t="s">
        <v>685</v>
      </c>
      <c r="B89" s="81" t="s">
        <v>572</v>
      </c>
      <c r="C89" s="46"/>
    </row>
    <row r="90" ht="18.0" customHeight="1">
      <c r="A90" s="78" t="s">
        <v>686</v>
      </c>
      <c r="B90" s="79" t="s">
        <v>577</v>
      </c>
      <c r="C90" s="48"/>
    </row>
    <row r="91" ht="18.0" customHeight="1">
      <c r="A91" s="80" t="s">
        <v>687</v>
      </c>
      <c r="B91" s="81" t="s">
        <v>584</v>
      </c>
      <c r="C91" s="46" t="s">
        <v>688</v>
      </c>
    </row>
    <row r="92" ht="18.0" customHeight="1">
      <c r="A92" s="78" t="s">
        <v>689</v>
      </c>
      <c r="B92" s="79" t="s">
        <v>569</v>
      </c>
      <c r="C92" s="48"/>
    </row>
    <row r="93" ht="18.0" customHeight="1">
      <c r="A93" s="80" t="s">
        <v>690</v>
      </c>
      <c r="B93" s="81" t="s">
        <v>564</v>
      </c>
      <c r="C93" s="46" t="s">
        <v>566</v>
      </c>
    </row>
    <row r="94" ht="7.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4:E4"/>
    <mergeCell ref="A21:E21"/>
    <mergeCell ref="A34:E34"/>
    <mergeCell ref="A51:E51"/>
    <mergeCell ref="A64:E64"/>
    <mergeCell ref="A79:E7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3" width="80.0"/>
    <col customWidth="1" min="4" max="4" width="45.0"/>
    <col customWidth="1" min="5" max="26" width="8.71"/>
  </cols>
  <sheetData>
    <row r="1" ht="30.0" customHeight="1">
      <c r="A1" s="75" t="s">
        <v>691</v>
      </c>
      <c r="B1" s="2"/>
      <c r="C1" s="2"/>
      <c r="D1" s="3"/>
    </row>
    <row r="2" ht="19.5" customHeight="1">
      <c r="A2" s="4" t="s">
        <v>692</v>
      </c>
      <c r="B2" s="2"/>
      <c r="C2" s="2"/>
      <c r="D2" s="3"/>
    </row>
    <row r="3" ht="7.5" customHeight="1"/>
    <row r="4" ht="21.75" customHeight="1">
      <c r="A4" s="67" t="s">
        <v>693</v>
      </c>
      <c r="B4" s="67" t="s">
        <v>694</v>
      </c>
      <c r="C4" s="67" t="s">
        <v>695</v>
      </c>
      <c r="D4" s="67" t="s">
        <v>58</v>
      </c>
    </row>
    <row r="5" ht="21.75" customHeight="1">
      <c r="A5" s="78" t="s">
        <v>643</v>
      </c>
      <c r="B5" s="79" t="s">
        <v>696</v>
      </c>
      <c r="C5" s="48" t="s">
        <v>697</v>
      </c>
      <c r="D5" s="82"/>
    </row>
    <row r="6" ht="21.75" customHeight="1">
      <c r="A6" s="83" t="s">
        <v>647</v>
      </c>
      <c r="B6" s="84" t="s">
        <v>696</v>
      </c>
      <c r="C6" s="53" t="s">
        <v>698</v>
      </c>
      <c r="D6" s="85" t="s">
        <v>699</v>
      </c>
    </row>
    <row r="7" ht="21.75" customHeight="1">
      <c r="A7" s="78" t="s">
        <v>658</v>
      </c>
      <c r="B7" s="79" t="s">
        <v>700</v>
      </c>
      <c r="C7" s="48" t="s">
        <v>701</v>
      </c>
      <c r="D7" s="82"/>
    </row>
    <row r="8" ht="21.75" customHeight="1">
      <c r="A8" s="83" t="s">
        <v>660</v>
      </c>
      <c r="B8" s="84" t="s">
        <v>700</v>
      </c>
      <c r="C8" s="53" t="s">
        <v>702</v>
      </c>
      <c r="D8" s="85"/>
    </row>
    <row r="9" ht="21.75" customHeight="1">
      <c r="A9" s="78" t="s">
        <v>618</v>
      </c>
      <c r="B9" s="79" t="s">
        <v>703</v>
      </c>
      <c r="C9" s="48" t="s">
        <v>704</v>
      </c>
      <c r="D9" s="82" t="s">
        <v>705</v>
      </c>
    </row>
    <row r="10" ht="21.75" customHeight="1">
      <c r="A10" s="83" t="s">
        <v>678</v>
      </c>
      <c r="B10" s="84" t="s">
        <v>706</v>
      </c>
      <c r="C10" s="53" t="s">
        <v>707</v>
      </c>
      <c r="D10" s="85" t="s">
        <v>708</v>
      </c>
    </row>
    <row r="11" ht="21.75" customHeight="1">
      <c r="A11" s="78" t="s">
        <v>709</v>
      </c>
      <c r="B11" s="79" t="s">
        <v>710</v>
      </c>
      <c r="C11" s="48" t="s">
        <v>711</v>
      </c>
      <c r="D11" s="82"/>
    </row>
    <row r="12" ht="21.75" customHeight="1">
      <c r="A12" s="83" t="s">
        <v>712</v>
      </c>
      <c r="B12" s="84" t="s">
        <v>710</v>
      </c>
      <c r="C12" s="53" t="s">
        <v>713</v>
      </c>
      <c r="D12" s="85"/>
    </row>
    <row r="13" ht="21.75" customHeight="1">
      <c r="A13" s="78" t="s">
        <v>714</v>
      </c>
      <c r="B13" s="79" t="s">
        <v>710</v>
      </c>
      <c r="C13" s="48" t="s">
        <v>715</v>
      </c>
      <c r="D13" s="82"/>
    </row>
    <row r="14" ht="21.75" customHeight="1">
      <c r="A14" s="83" t="s">
        <v>576</v>
      </c>
      <c r="B14" s="84" t="s">
        <v>716</v>
      </c>
      <c r="C14" s="53" t="s">
        <v>717</v>
      </c>
      <c r="D14" s="85" t="s">
        <v>718</v>
      </c>
    </row>
    <row r="15" ht="21.75" customHeight="1">
      <c r="A15" s="78" t="s">
        <v>579</v>
      </c>
      <c r="B15" s="79" t="s">
        <v>716</v>
      </c>
      <c r="C15" s="48" t="s">
        <v>719</v>
      </c>
      <c r="D15" s="82"/>
    </row>
    <row r="16" ht="21.75" customHeight="1">
      <c r="A16" s="83" t="s">
        <v>581</v>
      </c>
      <c r="B16" s="84" t="s">
        <v>716</v>
      </c>
      <c r="C16" s="53" t="s">
        <v>720</v>
      </c>
      <c r="D16" s="85"/>
    </row>
    <row r="17" ht="21.75" customHeight="1">
      <c r="A17" s="78" t="s">
        <v>721</v>
      </c>
      <c r="B17" s="79" t="s">
        <v>722</v>
      </c>
      <c r="C17" s="48" t="s">
        <v>723</v>
      </c>
      <c r="D17" s="82" t="s">
        <v>390</v>
      </c>
    </row>
    <row r="18" ht="21.75" customHeight="1">
      <c r="A18" s="83" t="s">
        <v>724</v>
      </c>
      <c r="B18" s="84" t="s">
        <v>722</v>
      </c>
      <c r="C18" s="53" t="s">
        <v>725</v>
      </c>
      <c r="D18" s="85" t="s">
        <v>726</v>
      </c>
    </row>
    <row r="19" ht="21.75" customHeight="1">
      <c r="A19" s="78" t="s">
        <v>686</v>
      </c>
      <c r="B19" s="79" t="s">
        <v>706</v>
      </c>
      <c r="C19" s="48" t="s">
        <v>727</v>
      </c>
      <c r="D19" s="82"/>
    </row>
    <row r="20" ht="21.75" customHeight="1">
      <c r="A20" s="83" t="s">
        <v>728</v>
      </c>
      <c r="B20" s="84" t="s">
        <v>729</v>
      </c>
      <c r="C20" s="53" t="s">
        <v>730</v>
      </c>
      <c r="D20" s="85"/>
    </row>
    <row r="21" ht="21.75" customHeight="1">
      <c r="A21" s="78" t="s">
        <v>731</v>
      </c>
      <c r="B21" s="79" t="s">
        <v>729</v>
      </c>
      <c r="C21" s="48" t="s">
        <v>732</v>
      </c>
      <c r="D21" s="82"/>
    </row>
    <row r="22" ht="21.75" customHeight="1">
      <c r="A22" s="83" t="s">
        <v>733</v>
      </c>
      <c r="B22" s="84" t="s">
        <v>729</v>
      </c>
      <c r="C22" s="53" t="s">
        <v>734</v>
      </c>
      <c r="D22" s="85" t="s">
        <v>735</v>
      </c>
    </row>
    <row r="23" ht="21.75" customHeight="1">
      <c r="A23" s="78" t="s">
        <v>736</v>
      </c>
      <c r="B23" s="79" t="s">
        <v>737</v>
      </c>
      <c r="C23" s="48" t="s">
        <v>738</v>
      </c>
      <c r="D23" s="82"/>
    </row>
    <row r="24" ht="21.75" customHeight="1">
      <c r="A24" s="83" t="s">
        <v>739</v>
      </c>
      <c r="B24" s="84" t="s">
        <v>740</v>
      </c>
      <c r="C24" s="53" t="s">
        <v>741</v>
      </c>
      <c r="D24" s="85" t="s">
        <v>742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2026-02-26T08:55:31Z</dcterms:created>
  <dc:creator>openpyxl</dc:creator>
</cp:coreProperties>
</file>